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dfe7c02b78aeac5e/Ciência da Computação/Projetos/Tabela-de-dobra/"/>
    </mc:Choice>
  </mc:AlternateContent>
  <xr:revisionPtr revIDLastSave="1" documentId="11_231190A3A2FF7D2C6A1DB954EB116E556E01F1F3" xr6:coauthVersionLast="47" xr6:coauthVersionMax="47" xr10:uidLastSave="{000C00DB-633F-4705-B21E-BB6CB5EC0EFF}"/>
  <bookViews>
    <workbookView xWindow="-110" yWindow="-110" windowWidth="19420" windowHeight="10300" xr2:uid="{00000000-000D-0000-FFFF-FFFF00000000}"/>
  </bookViews>
  <sheets>
    <sheet name="Cálculos" sheetId="1" r:id="rId1"/>
    <sheet name="Base de Dados" sheetId="2" r:id="rId2"/>
    <sheet name="Lista de ferramentas" sheetId="3" r:id="rId3"/>
    <sheet name="SPRING BACK" sheetId="4" r:id="rId4"/>
  </sheets>
  <externalReferences>
    <externalReference r:id="rId5"/>
  </externalReferences>
  <definedNames>
    <definedName name="_xlnm._FilterDatabase" localSheetId="0" hidden="1">Cálculos!$K$11:$O$22</definedName>
    <definedName name="_xlnm.Print_Area" localSheetId="0">MID(Cálculos!$D$3,1,3)*Cálculos!$F$5</definedName>
    <definedName name="CANAL_A5052">OFFSET(CANAL[[#This Row],[CANAL A5052]],0,0,COUNTIF(CANAL[CANAL A5052],"&lt;&gt; "),1)</definedName>
    <definedName name="CANAL_CARBONO">OFFSET(CANAL[[#This Row],[CANAL CARB]],0,0,COUNTIF(CANAL[CANAL CARB],"&lt;&gt; "),1)</definedName>
    <definedName name="CANAL_ENTRADA">Cálculos!$E$3</definedName>
    <definedName name="CANAL_H14">OFFSET(CANAL[[#This Row],[CANAL H14]],0,0,COUNTIF(CANAL[CANAL H14],"&lt;&gt; "),1)</definedName>
    <definedName name="CANAL_INOX">OFFSET(CANAL[[#This Row],[CANAL INOX]],0,0,COUNTIF(CANAL[CANAL INOX],"&lt;&gt; "),1)</definedName>
    <definedName name="CONDICAO_CANAL">IF(MATERIAL="CARBONO",CANAL_CARBONO,IF(MATERIAL="INOX",CANAL_INOX,IF(MATERIAL="A5052",CANAL_A5052,IF(MATERIAL="H14",CANAL_H14,))))</definedName>
    <definedName name="CONDICAO_MATERIAL">IF(MATERIAL="CARBONO",ESP_CARBONO,IF(MATERIAL="INOX",ESP_INOX,IF(MATERIAL="A5052",ESP_A5052,IF(MATERIAL="H14",ESP_H14,))))</definedName>
    <definedName name="DEDUCAO_DOBRA">IF(MATERIAL="CARBONO",RELACAO_ESP_CANAL_DED_CARBONO,IF(MATERIAL="INOX",RELACAO_ESP_CANAL_DED_INOX,IF(MATERIAL="A5052",RELACAO_ESP_CANAL_DED_A5052,IF(MATERIAL="H14",RELACAO_ESP_CANAL_DED_H14,""))))</definedName>
    <definedName name="Dobra_ang_ext">IF(OFFSET(Cálculos!XFC1,0,1,1,1)=0,"-",OFFSET(Cálculos!XFC1,0,0,1,1)+((OFFSET(Cálculos!XFC1,0,1,1,1)*(Raio+Offset)*PI())/360))</definedName>
    <definedName name="Dobra_ang_int">IF(OFFSET(Cálculos!XFC1,-1,1,1,1)=0,"-",OFFSET(Cálculos!XFC1,0,0,1,1)+((OFFSET(Cálculos!XFC1,-1,1,1,1)*(Raio+Offset)*PI())/360)+((OFFSET(Cálculos!XFC1,0,1,1,1)*(Raio+Offset)*PI())/360))</definedName>
    <definedName name="ENTRADA_CANAL">Cálculos!$E$3</definedName>
    <definedName name="ESP_A5052">OFFSET(ESP[[#This Row],[ESP. A5052]],0,0,COUNT(ESP[ESP. A5052]),1)</definedName>
    <definedName name="ESP_CARBONO">OFFSET(ESP[[#This Row],[ESP. CARBONO]],0,0,COUNTA(ESP[ESP. CARBONO]),1)</definedName>
    <definedName name="ESP_ENTRADA">Cálculos!$D$3</definedName>
    <definedName name="ESP_H14">OFFSET(ESP[[#This Row],[ESP. H14]],0,0,COUNT(ESP[ESP. H14]),1)</definedName>
    <definedName name="ESP_INOX">OFFSET(ESP[[#This Row],[ESP. INOX]],0,0,COUNT(ESP[ESP. INOX]),1)</definedName>
    <definedName name="Fator_K">(4*(MID(Cálculos!$D$3,1,3)-(Cálculos!$D$4/2)+Cálculos!$F$4)-(PI()*Cálculos!$F$4))/(PI()*MID(Cálculos!$D$3,1,3))</definedName>
    <definedName name="Ks">'SPRING BACK'!$C$6</definedName>
    <definedName name="LISTA_MATERIAL">MATERIAIS[MATERIAIS]</definedName>
    <definedName name="MATERIAL">Cálculos!$F$3</definedName>
    <definedName name="MaterialSB">[1]!PROPRIEDADES[MATERIAL]</definedName>
    <definedName name="Medida_ang">IF(AND(COUNT(Cálculos!XFC2)=0,COUNT(Cálculos!XFD1)=1),"Ângulo a mais",IF(Cálculos!XFC1=0,"-",IF(COUNT(Cálculos!XFC1048576)=0,Dobra_ang_ext,Dobra_ang_int)))</definedName>
    <definedName name="MEDIDAS_DOBRA">IF(OFFSET(Cálculos!XFC1,0,0,1,1)=0,"-",IF(COUNT(OFFSET(Cálculos!XFC1,-1,0,1,1))=0,OFFSET(Cálculos!XFC1,0,0,1,1)-Cálculos!$D$4/2,IF(OFFSET(Cálculos!XFC1,1,0,1,1)=0,OFFSET(Cálculos!XFC1,0,0,1,1)-Cálculos!$D$4/2,OFFSET(Cálculos!XFC1,0,0,1,1)-Cálculos!$D$4)))</definedName>
    <definedName name="METADE_DOBRA">IFERROR(OFFSET(Cálculos!XFD1,0,0,1,1)/2,"-")</definedName>
    <definedName name="OBS">IF(MATERIAL="CARBONO",RELACAO_ESP_CANAL_OBS_CARBONO,IF(MATERIAL="INOX",RELACAO_ESP_CANAL_OBS_INOX,IF(MATERIAL="A5052",RELACAO_ESP_CANAL_OBS_A5052,IF(MATERIAL="H14",RELACAO_ESP_CANAL_OBS_H14,"-"))))</definedName>
    <definedName name="Offset">MID(Cálculos!$D$3,1,3)*Cálculos!$F$5</definedName>
    <definedName name="Raio">Cálculos!$F$4</definedName>
    <definedName name="RELACAO_ESP_CANAL_DED_A5052" comment="Relação entre espessura e canal para dedução A5052">INDEX(AL_5052[DEDUÇÃO],MATCH(Cálculos!$D$3&amp;Cálculos!$E$3,AL_5052[ESP]&amp;AL_5052[CANAL],0))</definedName>
    <definedName name="RELACAO_ESP_CANAL_DED_CARBONO" comment="Relação entre espessura e canal para dedução carbono">INDEX(CARBONO[DEDUÇÃO],MATCH(Cálculos!$D$3&amp;Cálculos!$E$3,CARBONO[ESP]&amp;CARBONO[CANAL],0))</definedName>
    <definedName name="RELACAO_ESP_CANAL_DED_H14">INDEX(AL_H14[DEDUÇÃO],MATCH(Cálculos!$D$3&amp;Cálculos!$E$3,AL_H14[ESP]&amp;AL_H14[CANAL],0))</definedName>
    <definedName name="RELACAO_ESP_CANAL_DED_INOX" comment="Relação entre espessura e canal para dedução inox">INDEX(INOX[DEDUÇÃO],MATCH(Cálculos!$D$3&amp;Cálculos!$E$3,INOX[ESP]&amp;INOX[CANAL],0))</definedName>
    <definedName name="RELACAO_ESP_CANAL_FORCA_CARBONO">INDEX(CARBONO[FORÇA],MATCH(Cálculos!$D$3&amp;Cálculos!$E$3,CARBONO[ESP]&amp;CARBONO[CANAL],0))</definedName>
    <definedName name="RELACAO_ESP_CANAL_FORCA_INOX">INDEX(INOX[FORÇA],MATCH(Cálculos!$D$3&amp;Cálculos!$E$3,INOX[ESP]&amp;INOX[CANAL],0))</definedName>
    <definedName name="RELACAO_ESP_CANAL_OBS_A5052">INDEX(AL_5052[OBS],MATCH(Cálculos!$D$3&amp;Cálculos!$E$3,AL_5052[ESP]&amp;AL_5052[CANAL],0))</definedName>
    <definedName name="RELACAO_ESP_CANAL_OBS_CARBONO">INDEX(CARBONO[OBS],MATCH(Cálculos!$D$3&amp;Cálculos!$E$3,CARBONO[ESP]&amp;CARBONO[CANAL],0))</definedName>
    <definedName name="RELACAO_ESP_CANAL_OBS_H14">INDEX(AL_H14[OBS],MATCH(Cálculos!$D$3&amp;Cálculos!$E$3,AL_H14[ESP]&amp;AL_H14[CANAL],0))</definedName>
    <definedName name="RELACAO_ESP_CANAL_OBS_INOX">INDEX(INOX[OBS],MATCH(Cálculos!$D$3&amp;Cálculos!$E$3,INOX[ESP]&amp;INOX[CANAL],0))</definedName>
    <definedName name="Rf">'SPRING BACK'!$C$4</definedName>
    <definedName name="T">'SPRING BACK'!$C$3</definedName>
    <definedName name="Z_00BE9425_107A_4187_BF28_D65C3F9205F1_.wvu.PrintArea" localSheetId="0" hidden="1">Cálculos!#REF!</definedName>
    <definedName name="Z_1B199A88_A625_4EA5_A71B_04F16C4C9333_.wvu.FilterData" localSheetId="0" hidden="1">Cálculos!#REF!</definedName>
    <definedName name="Z_39C9D11D_1542_43CA_8F6C_6878BF8360CA_.wvu.FilterData" localSheetId="0" hidden="1">Cálculos!#REF!</definedName>
    <definedName name="Z_56541722_DFC6_4FA6_9513_02A51D7F2DA2_.wvu.FilterData" localSheetId="0" hidden="1">Cálculos!#REF!</definedName>
    <definedName name="Z_8DA527DC_64C0_4A31_882A_2649686DFF49_.wvu.FilterData" localSheetId="0" hidden="1">Cálculos!#REF!</definedName>
    <definedName name="Z_9D21F9A8_80D6_4757_BFEC_7BFBDB7B5700_.wvu.FilterData" localSheetId="0" hidden="1">Cálculos!#REF!</definedName>
    <definedName name="Z_ADD5C0BD_2DD2_49E3_A629_7C2932EFD63A_.wvu.FilterData" localSheetId="0" hidden="1">Cálculos!#REF!</definedName>
    <definedName name="Z_DF07270F_9CD0_472A_9B32_FD7DD7622659_.wvu.FilterData" localSheetId="0" hidden="1">Cálculos!#REF!</definedName>
    <definedName name="Z_EF75DF0C_4CDD_487C_B839_63FD0E393925_.wvu.FilterData" localSheetId="0" hidden="1">Cálculos!#REF!</definedName>
    <definedName name="α2">'SPRING BACK'!$C$5</definedName>
  </definedNames>
  <calcPr calcId="191029"/>
  <customWorkbookViews>
    <customWorkbookView name="LUMA - Modo de exibição pessoal" guid="{EF75DF0C-4CDD-487C-B839-63FD0E393925}" mergeInterval="0" personalView="1" maximized="1" windowWidth="1920" windowHeight="806" activeSheetId="1"/>
    <customWorkbookView name="GEOVANNE - Modo de exibição pessoal" guid="{9D21F9A8-80D6-4757-BFEC-7BFBDB7B5700}" mergeInterval="0" personalView="1" maximized="1" windowWidth="1920" windowHeight="835" activeSheetId="1"/>
    <customWorkbookView name="LUCIANO - Modo de exibição pessoal" guid="{3488FB33-7AC9-4053-8220-E2A3D9AB06B0}" mergeInterval="0" personalView="1" maximized="1" windowWidth="1920" windowHeight="803" activeSheetId="1"/>
    <customWorkbookView name="ROBSON - Modo de exibição pessoal" guid="{E1103BEE-DE9F-489B-88DE-B6C0FEFF837D}" mergeInterval="0" personalView="1" maximized="1" windowWidth="1920" windowHeight="855" activeSheetId="1"/>
    <customWorkbookView name="RAPHAEL - Modo de exibição pessoal" guid="{90A17AC3-80D0-4F8D-BDFF-83D66DE35498}" mergeInterval="0" personalView="1" maximized="1" windowWidth="1920" windowHeight="829" activeSheetId="1"/>
    <customWorkbookView name="GUILHERME - Modo de exibição pessoal" guid="{00BE9425-107A-4187-BF28-D65C3F9205F1}" mergeInterval="0" personalView="1" maximized="1" windowWidth="1920" windowHeight="894" activeSheetId="1"/>
    <customWorkbookView name="PROCESSO - Modo de exibição pessoal" guid="{DF07270F-9CD0-472A-9B32-FD7DD7622659}" mergeInterval="0" personalView="1" maximized="1" windowWidth="1920" windowHeight="75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C6" i="4" s="1"/>
  <c r="C8" i="4" s="1"/>
  <c r="H4" i="4"/>
  <c r="H5" i="4"/>
  <c r="H6" i="4"/>
  <c r="H7" i="4"/>
  <c r="H8" i="4"/>
  <c r="H9" i="4"/>
  <c r="AE18" i="1"/>
  <c r="AE19" i="1" s="1"/>
  <c r="AE20" i="1" s="1"/>
  <c r="AE21" i="1" s="1"/>
  <c r="AE11" i="1"/>
  <c r="AE8" i="1"/>
  <c r="AE9" i="1" s="1"/>
  <c r="C7" i="4" l="1"/>
  <c r="G41" i="1"/>
  <c r="H41" i="1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Q27" i="1"/>
  <c r="Q31" i="1"/>
  <c r="Q32" i="1"/>
  <c r="Q33" i="1"/>
  <c r="Q34" i="1"/>
  <c r="Q35" i="1"/>
  <c r="Q36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P27" i="1"/>
  <c r="P28" i="1"/>
  <c r="Q28" i="1" s="1"/>
  <c r="P29" i="1"/>
  <c r="Q29" i="1" s="1"/>
  <c r="P30" i="1"/>
  <c r="Q30" i="1" s="1"/>
  <c r="P31" i="1"/>
  <c r="P32" i="1"/>
  <c r="P33" i="1"/>
  <c r="P34" i="1"/>
  <c r="P35" i="1"/>
  <c r="P36" i="1"/>
  <c r="P37" i="1"/>
  <c r="Q37" i="1" s="1"/>
  <c r="P38" i="1"/>
  <c r="Q38" i="1" s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26" i="1"/>
  <c r="Q26" i="1"/>
  <c r="R27" i="1" l="1"/>
  <c r="H4" i="2" s="1"/>
  <c r="R60" i="1"/>
  <c r="R52" i="1"/>
  <c r="R66" i="1"/>
  <c r="R58" i="1"/>
  <c r="R50" i="1"/>
  <c r="R42" i="1"/>
  <c r="H19" i="2" s="1"/>
  <c r="R34" i="1"/>
  <c r="H11" i="2" s="1"/>
  <c r="R65" i="1"/>
  <c r="R57" i="1"/>
  <c r="R49" i="1"/>
  <c r="R41" i="1"/>
  <c r="H18" i="2" s="1"/>
  <c r="R33" i="1"/>
  <c r="H10" i="2" s="1"/>
  <c r="R64" i="1"/>
  <c r="R56" i="1"/>
  <c r="R48" i="1"/>
  <c r="R40" i="1"/>
  <c r="H17" i="2" s="1"/>
  <c r="R32" i="1"/>
  <c r="H9" i="2" s="1"/>
  <c r="R63" i="1"/>
  <c r="R55" i="1"/>
  <c r="R47" i="1"/>
  <c r="R39" i="1"/>
  <c r="H16" i="2" s="1"/>
  <c r="R31" i="1"/>
  <c r="H8" i="2" s="1"/>
  <c r="R62" i="1"/>
  <c r="R54" i="1"/>
  <c r="R46" i="1"/>
  <c r="R38" i="1"/>
  <c r="H15" i="2" s="1"/>
  <c r="R30" i="1"/>
  <c r="H7" i="2" s="1"/>
  <c r="R61" i="1"/>
  <c r="R53" i="1"/>
  <c r="R45" i="1"/>
  <c r="R37" i="1"/>
  <c r="H14" i="2" s="1"/>
  <c r="R29" i="1"/>
  <c r="H6" i="2" s="1"/>
  <c r="R44" i="1"/>
  <c r="R36" i="1"/>
  <c r="H13" i="2" s="1"/>
  <c r="R28" i="1"/>
  <c r="H5" i="2" s="1"/>
  <c r="R67" i="1"/>
  <c r="R59" i="1"/>
  <c r="R51" i="1"/>
  <c r="R43" i="1"/>
  <c r="R35" i="1"/>
  <c r="H12" i="2" s="1"/>
  <c r="J19" i="2"/>
  <c r="G35" i="1"/>
  <c r="H35" i="1"/>
  <c r="G31" i="1"/>
  <c r="H31" i="1" s="1"/>
  <c r="G29" i="1"/>
  <c r="H29" i="1" s="1"/>
  <c r="G27" i="1"/>
  <c r="H27" i="1" l="1"/>
  <c r="G50" i="1" l="1"/>
  <c r="H50" i="1" l="1"/>
  <c r="G44" i="1" l="1"/>
  <c r="H44" i="1" s="1"/>
  <c r="M4" i="1" l="1"/>
  <c r="G33" i="1" l="1"/>
  <c r="H33" i="1" s="1"/>
  <c r="C22" i="1" l="1"/>
  <c r="N7" i="1"/>
  <c r="D3" i="2" l="1"/>
  <c r="E3" i="2"/>
  <c r="D4" i="2" l="1"/>
  <c r="D5" i="2" s="1"/>
  <c r="E4" i="2"/>
  <c r="E5" i="2" s="1"/>
  <c r="E6" i="2" s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Y30" i="1"/>
  <c r="X26" i="1"/>
  <c r="Y26" i="1" s="1"/>
  <c r="E7" i="2" l="1"/>
  <c r="D6" i="2"/>
  <c r="Y38" i="1"/>
  <c r="Y39" i="1"/>
  <c r="Y40" i="1"/>
  <c r="Y34" i="1"/>
  <c r="E8" i="2" l="1"/>
  <c r="D7" i="2"/>
  <c r="E9" i="2" l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D8" i="2"/>
  <c r="Y32" i="1"/>
  <c r="D9" i="2" l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Y28" i="1" l="1"/>
  <c r="Y35" i="1"/>
  <c r="Y37" i="1"/>
  <c r="Y36" i="1" l="1"/>
  <c r="Y29" i="1"/>
  <c r="L22" i="1" l="1"/>
  <c r="C3" i="2" l="1"/>
  <c r="Y27" i="1"/>
  <c r="C4" i="2" l="1"/>
  <c r="C5" i="2" s="1"/>
  <c r="C6" i="2" l="1"/>
  <c r="AF32" i="1"/>
  <c r="AG32" i="1" s="1"/>
  <c r="AF31" i="1"/>
  <c r="AG31" i="1" s="1"/>
  <c r="C7" i="2" l="1"/>
  <c r="Y41" i="1"/>
  <c r="Y33" i="1"/>
  <c r="C8" i="2" l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W16" i="1"/>
  <c r="W17" i="1"/>
  <c r="W18" i="1"/>
  <c r="W19" i="1"/>
  <c r="W20" i="1"/>
  <c r="Y31" i="1"/>
  <c r="Z30" i="1" l="1"/>
  <c r="J7" i="2" s="1"/>
  <c r="Z26" i="1"/>
  <c r="Z39" i="1"/>
  <c r="J16" i="2" s="1"/>
  <c r="Z38" i="1"/>
  <c r="J15" i="2" s="1"/>
  <c r="Z34" i="1"/>
  <c r="J11" i="2" s="1"/>
  <c r="Z40" i="1"/>
  <c r="J17" i="2" s="1"/>
  <c r="Z32" i="1"/>
  <c r="J9" i="2" s="1"/>
  <c r="Z28" i="1"/>
  <c r="J5" i="2" s="1"/>
  <c r="Z35" i="1"/>
  <c r="J12" i="2" s="1"/>
  <c r="Z37" i="1"/>
  <c r="J14" i="2" s="1"/>
  <c r="Z36" i="1"/>
  <c r="J13" i="2" s="1"/>
  <c r="Z29" i="1"/>
  <c r="J6" i="2" s="1"/>
  <c r="Z27" i="1"/>
  <c r="J4" i="2" s="1"/>
  <c r="Z33" i="1"/>
  <c r="J10" i="2" s="1"/>
  <c r="Z41" i="1"/>
  <c r="J18" i="2" s="1"/>
  <c r="Z31" i="1"/>
  <c r="J8" i="2" s="1"/>
  <c r="J3" i="2" l="1"/>
  <c r="AF27" i="1"/>
  <c r="AG27" i="1" s="1"/>
  <c r="AF26" i="1"/>
  <c r="AG26" i="1" s="1"/>
  <c r="AF28" i="1" l="1"/>
  <c r="AG28" i="1" s="1"/>
  <c r="AF29" i="1"/>
  <c r="AG29" i="1" s="1"/>
  <c r="AF30" i="1"/>
  <c r="AG30" i="1" s="1"/>
  <c r="AF33" i="1"/>
  <c r="AG33" i="1" s="1"/>
  <c r="AF34" i="1"/>
  <c r="AG34" i="1" s="1"/>
  <c r="G26" i="1"/>
  <c r="H26" i="1"/>
  <c r="H54" i="1"/>
  <c r="H55" i="1"/>
  <c r="H56" i="1"/>
  <c r="H68" i="1"/>
  <c r="H69" i="1"/>
  <c r="H70" i="1"/>
  <c r="H73" i="1"/>
  <c r="G28" i="1"/>
  <c r="H28" i="1" s="1"/>
  <c r="G30" i="1"/>
  <c r="H30" i="1" s="1"/>
  <c r="G32" i="1"/>
  <c r="H32" i="1" s="1"/>
  <c r="G34" i="1"/>
  <c r="H34" i="1" s="1"/>
  <c r="G36" i="1"/>
  <c r="H36" i="1" s="1"/>
  <c r="G37" i="1"/>
  <c r="H37" i="1" s="1"/>
  <c r="G38" i="1"/>
  <c r="H38" i="1" s="1"/>
  <c r="G39" i="1"/>
  <c r="H39" i="1" s="1"/>
  <c r="G40" i="1"/>
  <c r="H40" i="1" s="1"/>
  <c r="G42" i="1"/>
  <c r="H42" i="1" s="1"/>
  <c r="G43" i="1"/>
  <c r="H43" i="1" s="1"/>
  <c r="G45" i="1"/>
  <c r="H45" i="1" s="1"/>
  <c r="G46" i="1"/>
  <c r="H46" i="1" s="1"/>
  <c r="G47" i="1"/>
  <c r="H47" i="1" s="1"/>
  <c r="G48" i="1"/>
  <c r="H48" i="1" s="1"/>
  <c r="G49" i="1"/>
  <c r="H49" i="1" s="1"/>
  <c r="G51" i="1"/>
  <c r="H51" i="1" s="1"/>
  <c r="G52" i="1"/>
  <c r="H52" i="1" s="1"/>
  <c r="G53" i="1"/>
  <c r="H53" i="1" s="1"/>
  <c r="G54" i="1"/>
  <c r="G55" i="1"/>
  <c r="G56" i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G69" i="1"/>
  <c r="G70" i="1"/>
  <c r="G71" i="1"/>
  <c r="H71" i="1" s="1"/>
  <c r="G72" i="1"/>
  <c r="H72" i="1" s="1"/>
  <c r="G73" i="1"/>
  <c r="I41" i="1" l="1"/>
  <c r="R26" i="1"/>
  <c r="H3" i="2" s="1"/>
  <c r="I35" i="1"/>
  <c r="G12" i="2" s="1"/>
  <c r="I31" i="1"/>
  <c r="G8" i="2" s="1"/>
  <c r="I29" i="1"/>
  <c r="G6" i="2" s="1"/>
  <c r="I27" i="1"/>
  <c r="G4" i="2" s="1"/>
  <c r="I50" i="1"/>
  <c r="I44" i="1"/>
  <c r="I33" i="1"/>
  <c r="G10" i="2" s="1"/>
  <c r="AH32" i="1"/>
  <c r="AH31" i="1"/>
  <c r="AH27" i="1"/>
  <c r="AH26" i="1"/>
  <c r="I3" i="2" s="1"/>
  <c r="AH29" i="1"/>
  <c r="AH30" i="1"/>
  <c r="AH34" i="1"/>
  <c r="AH28" i="1"/>
  <c r="AH33" i="1"/>
  <c r="I26" i="1"/>
  <c r="G3" i="2" s="1"/>
  <c r="I28" i="1"/>
  <c r="G5" i="2" s="1"/>
  <c r="I70" i="1"/>
  <c r="I62" i="1"/>
  <c r="I54" i="1"/>
  <c r="I45" i="1"/>
  <c r="I34" i="1"/>
  <c r="G11" i="2" s="1"/>
  <c r="I73" i="1"/>
  <c r="I69" i="1"/>
  <c r="I61" i="1"/>
  <c r="I53" i="1"/>
  <c r="I43" i="1"/>
  <c r="G19" i="2" s="1"/>
  <c r="I32" i="1"/>
  <c r="G9" i="2" s="1"/>
  <c r="I72" i="1"/>
  <c r="I68" i="1"/>
  <c r="I64" i="1"/>
  <c r="I60" i="1"/>
  <c r="I56" i="1"/>
  <c r="I52" i="1"/>
  <c r="I47" i="1"/>
  <c r="I42" i="1"/>
  <c r="G18" i="2" s="1"/>
  <c r="I37" i="1"/>
  <c r="G14" i="2" s="1"/>
  <c r="I30" i="1"/>
  <c r="G7" i="2" s="1"/>
  <c r="I66" i="1"/>
  <c r="I58" i="1"/>
  <c r="I49" i="1"/>
  <c r="I39" i="1"/>
  <c r="G16" i="2" s="1"/>
  <c r="I65" i="1"/>
  <c r="I57" i="1"/>
  <c r="I48" i="1"/>
  <c r="I38" i="1"/>
  <c r="G15" i="2" s="1"/>
  <c r="I71" i="1"/>
  <c r="I67" i="1"/>
  <c r="I63" i="1"/>
  <c r="I59" i="1"/>
  <c r="I55" i="1"/>
  <c r="I51" i="1"/>
  <c r="I46" i="1"/>
  <c r="I40" i="1"/>
  <c r="G17" i="2" s="1"/>
  <c r="I36" i="1"/>
  <c r="G13" i="2" s="1"/>
  <c r="B3" i="2" l="1"/>
  <c r="D4" i="1"/>
  <c r="B4" i="2" l="1"/>
  <c r="B5" i="2" s="1"/>
  <c r="F5" i="1"/>
  <c r="E12" i="1"/>
  <c r="E13" i="1"/>
  <c r="N6" i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E15" i="1"/>
  <c r="E16" i="1"/>
  <c r="E17" i="1"/>
  <c r="E18" i="1"/>
  <c r="E19" i="1"/>
  <c r="E20" i="1"/>
  <c r="E21" i="1"/>
  <c r="B6" i="2" l="1"/>
  <c r="D7" i="1"/>
  <c r="B7" i="2" l="1"/>
  <c r="E14" i="1"/>
  <c r="N14" i="1"/>
  <c r="O14" i="1" s="1"/>
  <c r="N13" i="1"/>
  <c r="O13" i="1" s="1"/>
  <c r="N12" i="1"/>
  <c r="O12" i="1" s="1"/>
  <c r="B8" i="2" l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W14" i="1"/>
  <c r="W15" i="1"/>
  <c r="W12" i="1"/>
  <c r="W13" i="1"/>
  <c r="W21" i="1"/>
  <c r="F6" i="1"/>
  <c r="F19" i="1"/>
  <c r="F21" i="1"/>
  <c r="F20" i="1"/>
  <c r="F18" i="1"/>
  <c r="F17" i="1"/>
  <c r="F16" i="1"/>
  <c r="W22" i="1" l="1"/>
  <c r="F14" i="1"/>
  <c r="F13" i="1"/>
  <c r="F15" i="1"/>
  <c r="F12" i="1" l="1"/>
  <c r="N22" i="1" l="1"/>
  <c r="O22" i="1" s="1"/>
  <c r="E22" i="1" l="1"/>
  <c r="F2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PROCESSO</author>
  </authors>
  <commentList>
    <comment ref="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PROCESSO:</t>
        </r>
        <r>
          <rPr>
            <sz val="9"/>
            <color indexed="81"/>
            <rFont val="Tahoma"/>
            <family val="2"/>
          </rPr>
          <t xml:space="preserve">
Manter celula apagada quando não estiver usando.
</t>
        </r>
      </text>
    </comment>
  </commentList>
</comments>
</file>

<file path=xl/sharedStrings.xml><?xml version="1.0" encoding="utf-8"?>
<sst xmlns="http://schemas.openxmlformats.org/spreadsheetml/2006/main" count="273" uniqueCount="136">
  <si>
    <t>ESP</t>
  </si>
  <si>
    <t>CARBONO</t>
  </si>
  <si>
    <t>INOX</t>
  </si>
  <si>
    <t>OBS</t>
  </si>
  <si>
    <t>A5052</t>
  </si>
  <si>
    <t>MÁX=200mm</t>
  </si>
  <si>
    <t>Metade</t>
  </si>
  <si>
    <t>Dedução:</t>
  </si>
  <si>
    <t>Blank:</t>
  </si>
  <si>
    <t>Fator K:</t>
  </si>
  <si>
    <t>Material:</t>
  </si>
  <si>
    <t>Dobra</t>
  </si>
  <si>
    <t>Offset:</t>
  </si>
  <si>
    <t>Abas</t>
  </si>
  <si>
    <t>1ª</t>
  </si>
  <si>
    <t>2ª</t>
  </si>
  <si>
    <t>3ª</t>
  </si>
  <si>
    <t>4ª</t>
  </si>
  <si>
    <t>5ª</t>
  </si>
  <si>
    <t>6ª</t>
  </si>
  <si>
    <t>7ª</t>
  </si>
  <si>
    <t>8ª</t>
  </si>
  <si>
    <t>9ª</t>
  </si>
  <si>
    <t>10ª</t>
  </si>
  <si>
    <t>ESP. CARBONO</t>
  </si>
  <si>
    <t>ESP. A5052</t>
  </si>
  <si>
    <t>CANAL CARB</t>
  </si>
  <si>
    <t>CANAL INOX</t>
  </si>
  <si>
    <t>CANAL A5052</t>
  </si>
  <si>
    <t>ESP. INOX</t>
  </si>
  <si>
    <t>DEDUÇÃO</t>
  </si>
  <si>
    <t>MATERIAIS</t>
  </si>
  <si>
    <t>Canal ideal</t>
  </si>
  <si>
    <t>V=25; R=3</t>
  </si>
  <si>
    <t>V=12; R=0,8</t>
  </si>
  <si>
    <t>CANAL</t>
  </si>
  <si>
    <t>LISTA  DE FERRAMENTAS  DE DOBRA PUNÇOES E MATRIZES</t>
  </si>
  <si>
    <t>TAMANHO</t>
  </si>
  <si>
    <t>ALTURA</t>
  </si>
  <si>
    <t xml:space="preserve">OBS </t>
  </si>
  <si>
    <t>FACA RETA</t>
  </si>
  <si>
    <t>FACA CAVADA</t>
  </si>
  <si>
    <t>FACA RAIO 28</t>
  </si>
  <si>
    <t>V=35; R=3</t>
  </si>
  <si>
    <t>AUX1</t>
  </si>
  <si>
    <t>AUX2</t>
  </si>
  <si>
    <t>AUX3</t>
  </si>
  <si>
    <t>Dedução especifica:</t>
  </si>
  <si>
    <t>Raio peça = 5mm</t>
  </si>
  <si>
    <t>Raio peça = 7mm</t>
  </si>
  <si>
    <t>H14</t>
  </si>
  <si>
    <t>CANAL H14</t>
  </si>
  <si>
    <t>ESP. H14</t>
  </si>
  <si>
    <t>CALCULAR BLANK PELO CENTRO DO RAIO DE DOBRA</t>
  </si>
  <si>
    <t>Falta teste</t>
  </si>
  <si>
    <t>CÁLCULO PARA DOBRAS 90º</t>
  </si>
  <si>
    <t>Distância (d)</t>
  </si>
  <si>
    <t>Raio (r):</t>
  </si>
  <si>
    <t>Canal (v):</t>
  </si>
  <si>
    <t>Med. dobra</t>
  </si>
  <si>
    <t>Âng. ext. (a)</t>
  </si>
  <si>
    <t>LIGA 3105 H114</t>
  </si>
  <si>
    <t xml:space="preserve"> k = 0,5195</t>
  </si>
  <si>
    <t>R=0,8</t>
  </si>
  <si>
    <t>V</t>
  </si>
  <si>
    <t>Raio peça = 8mm</t>
  </si>
  <si>
    <t>Aba mínima externa [mm]:</t>
  </si>
  <si>
    <t>Altura mín. ext. Z 90° [mm]:</t>
  </si>
  <si>
    <t>MATRIZ 16</t>
  </si>
  <si>
    <t>MATRIZ 10</t>
  </si>
  <si>
    <t>MATRIZ 8</t>
  </si>
  <si>
    <t>MATRIZ 25</t>
  </si>
  <si>
    <t>MATRIZ 5</t>
  </si>
  <si>
    <t>MATRIZ 55</t>
  </si>
  <si>
    <t>MATRIZ 80</t>
  </si>
  <si>
    <t>FACA RAIO 3</t>
  </si>
  <si>
    <t xml:space="preserve">PUNÇÃO </t>
  </si>
  <si>
    <t>EN AW 5754 H111 (CORRUG. KRONES)</t>
  </si>
  <si>
    <t>L/2</t>
  </si>
  <si>
    <t>FACA RAIO 5</t>
  </si>
  <si>
    <t>SECCIONADA = 160</t>
  </si>
  <si>
    <t>SECCIONADA = 205</t>
  </si>
  <si>
    <t>FACA RAIO 7</t>
  </si>
  <si>
    <t>FACA RAIO 10</t>
  </si>
  <si>
    <t>FACA RAIO 15,75</t>
  </si>
  <si>
    <t>MATRIZES 16, 22, 35, 50</t>
  </si>
  <si>
    <t xml:space="preserve">MATRIZ 12 </t>
  </si>
  <si>
    <t>AMASSAMENTO</t>
  </si>
  <si>
    <t>FALAR COM ADILIO, NÃO E SECCINADA</t>
  </si>
  <si>
    <t>Falta teste; máximo 200mm</t>
  </si>
  <si>
    <t>MÁX=700mm</t>
  </si>
  <si>
    <t>Para INOX 316 usar fator 10,4</t>
  </si>
  <si>
    <t>FORÇA</t>
  </si>
  <si>
    <t>Esp. (e):</t>
  </si>
  <si>
    <t>Máx=200mm</t>
  </si>
  <si>
    <t>Máx=500mm</t>
  </si>
  <si>
    <t>Máx=700mm</t>
  </si>
  <si>
    <t>Observação:</t>
  </si>
  <si>
    <t>Força necessária p/ dobra</t>
  </si>
  <si>
    <t>Compr. [mm]</t>
  </si>
  <si>
    <t>F [T]</t>
  </si>
  <si>
    <r>
      <t xml:space="preserve">Ferramenta "bigode": </t>
    </r>
    <r>
      <rPr>
        <sz val="12"/>
        <color theme="3"/>
        <rFont val="Arial"/>
        <family val="2"/>
      </rPr>
      <t>fazer alívio de dobra em abas maiores que 20mm.</t>
    </r>
  </si>
  <si>
    <r>
      <t>Corrugado</t>
    </r>
    <r>
      <rPr>
        <sz val="12"/>
        <color rgb="FF000000"/>
        <rFont val="Arial"/>
        <family val="2"/>
      </rPr>
      <t xml:space="preserve"> → Laser sempre corta com a face do corrugado para Cima ↑.</t>
    </r>
  </si>
  <si>
    <r>
      <t>Xadrez</t>
    </r>
    <r>
      <rPr>
        <sz val="12"/>
        <color rgb="FF000000"/>
        <rFont val="Arial"/>
        <family val="2"/>
      </rPr>
      <t xml:space="preserve"> → Laser sempre corta com a face xadrez para Baixo ↓.</t>
    </r>
  </si>
  <si>
    <t>Sem correspondência</t>
  </si>
  <si>
    <t>MÁX=1000mm</t>
  </si>
  <si>
    <t>R=28</t>
  </si>
  <si>
    <t>Raio peça = 34mm</t>
  </si>
  <si>
    <t>2,7 Rittal</t>
  </si>
  <si>
    <t>Galvanizado Rittal</t>
  </si>
  <si>
    <t>k=0,5</t>
  </si>
  <si>
    <t>Raio peça = 29mm</t>
  </si>
  <si>
    <t>MÁX=800mm</t>
  </si>
  <si>
    <t>Não usar em chapa xadrez</t>
  </si>
  <si>
    <t>R=10</t>
  </si>
  <si>
    <t>Raio peça = 10mm</t>
  </si>
  <si>
    <t>Furo Ø8 mm, dist. tang. e L.D 13 mm, não repuxa</t>
  </si>
  <si>
    <t>Medida externa</t>
  </si>
  <si>
    <t>MATERIAL</t>
  </si>
  <si>
    <t>Y</t>
  </si>
  <si>
    <t>E</t>
  </si>
  <si>
    <t>ks</t>
  </si>
  <si>
    <t>ESPESSURA</t>
  </si>
  <si>
    <t>AISI 304</t>
  </si>
  <si>
    <t>RAIO FINAL (Rf)</t>
  </si>
  <si>
    <t>AISI 410</t>
  </si>
  <si>
    <t>ÂNGULO FINAL (α2)</t>
  </si>
  <si>
    <t>AL 5052-H32</t>
  </si>
  <si>
    <t>Ks</t>
  </si>
  <si>
    <t>AL 6061</t>
  </si>
  <si>
    <t>RAIO INICIAL (Ri)</t>
  </si>
  <si>
    <t>ÂNGULO INICIAL (α1)</t>
  </si>
  <si>
    <t>LATÃO</t>
  </si>
  <si>
    <t>SAE 1020</t>
  </si>
  <si>
    <t>FATOR K</t>
  </si>
  <si>
    <t>RAIO INT/ 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</si>
</sst>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&quot;mm&quot;"/>
    <numFmt numFmtId="165" formatCode="[$-F400]h:mm:ss\ AM/PM"/>
    <numFmt numFmtId="166" formatCode="0.0"/>
    <numFmt numFmtId="167" formatCode="0.0000"/>
    <numFmt numFmtId="168" formatCode="0\ &quot;ton/m&quot;"/>
    <numFmt numFmtId="169" formatCode="0.00&quot;°&quot;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color rgb="FFFF0000"/>
      <name val="Arial"/>
      <family val="2"/>
    </font>
    <font>
      <sz val="12"/>
      <color indexed="17"/>
      <name val="Arial"/>
      <family val="2"/>
    </font>
    <font>
      <b/>
      <sz val="12"/>
      <color theme="0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sz val="12"/>
      <color theme="1" tint="0.34998626667073579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2"/>
      <color theme="3"/>
      <name val="Arial"/>
      <family val="2"/>
    </font>
    <font>
      <b/>
      <sz val="10"/>
      <color rgb="FFFF0000"/>
      <name val="Arial"/>
      <family val="2"/>
    </font>
    <font>
      <sz val="12"/>
      <color theme="3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9.5"/>
      <color rgb="FFFF0000"/>
      <name val="Arial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Arial"/>
      <family val="2"/>
    </font>
    <font>
      <b/>
      <sz val="9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medium">
        <color theme="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1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27" fillId="0" borderId="0" applyNumberFormat="0" applyFill="0" applyBorder="0" applyAlignment="0" applyProtection="0"/>
  </cellStyleXfs>
  <cellXfs count="198">
    <xf numFmtId="0" fontId="0" fillId="0" borderId="0" xfId="0"/>
    <xf numFmtId="0" fontId="5" fillId="0" borderId="12" xfId="0" applyFont="1" applyBorder="1" applyAlignment="1">
      <alignment horizontal="center" vertical="center"/>
    </xf>
    <xf numFmtId="2" fontId="5" fillId="0" borderId="2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/>
    <xf numFmtId="2" fontId="5" fillId="0" borderId="0" xfId="0" applyNumberFormat="1" applyFont="1" applyAlignment="1">
      <alignment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6" fillId="0" borderId="12" xfId="0" applyFont="1" applyBorder="1" applyAlignment="1">
      <alignment horizontal="right" vertical="center"/>
    </xf>
    <xf numFmtId="0" fontId="6" fillId="0" borderId="1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11" fillId="0" borderId="0" xfId="0" applyFont="1"/>
    <xf numFmtId="4" fontId="13" fillId="2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166" fontId="12" fillId="0" borderId="37" xfId="0" applyNumberFormat="1" applyFont="1" applyBorder="1" applyAlignment="1">
      <alignment horizontal="center" vertical="center"/>
    </xf>
    <xf numFmtId="2" fontId="5" fillId="2" borderId="12" xfId="0" applyNumberFormat="1" applyFont="1" applyFill="1" applyBorder="1" applyAlignment="1" applyProtection="1">
      <alignment horizontal="center" vertical="center"/>
      <protection locked="0"/>
    </xf>
    <xf numFmtId="2" fontId="5" fillId="2" borderId="6" xfId="0" applyNumberFormat="1" applyFont="1" applyFill="1" applyBorder="1" applyAlignment="1" applyProtection="1">
      <alignment horizontal="center" vertical="center"/>
      <protection locked="0"/>
    </xf>
    <xf numFmtId="2" fontId="7" fillId="0" borderId="13" xfId="0" applyNumberFormat="1" applyFont="1" applyBorder="1" applyAlignment="1">
      <alignment horizontal="center" vertical="center"/>
    </xf>
    <xf numFmtId="2" fontId="5" fillId="0" borderId="13" xfId="0" applyNumberFormat="1" applyFont="1" applyBorder="1" applyAlignment="1">
      <alignment horizontal="center" vertical="center"/>
    </xf>
    <xf numFmtId="2" fontId="10" fillId="0" borderId="7" xfId="0" applyNumberFormat="1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2" fontId="5" fillId="2" borderId="25" xfId="0" applyNumberFormat="1" applyFont="1" applyFill="1" applyBorder="1" applyAlignment="1" applyProtection="1">
      <alignment horizontal="center" vertical="center"/>
      <protection locked="0"/>
    </xf>
    <xf numFmtId="2" fontId="5" fillId="2" borderId="27" xfId="0" applyNumberFormat="1" applyFont="1" applyFill="1" applyBorder="1" applyAlignment="1" applyProtection="1">
      <alignment horizontal="center" vertical="center"/>
      <protection locked="0"/>
    </xf>
    <xf numFmtId="2" fontId="5" fillId="2" borderId="26" xfId="0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6" fillId="0" borderId="15" xfId="0" applyFont="1" applyBorder="1" applyAlignment="1">
      <alignment horizontal="right" vertical="center"/>
    </xf>
    <xf numFmtId="0" fontId="9" fillId="0" borderId="35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2" fontId="5" fillId="2" borderId="44" xfId="0" applyNumberFormat="1" applyFont="1" applyFill="1" applyBorder="1" applyAlignment="1" applyProtection="1">
      <alignment horizontal="center" vertical="center"/>
      <protection locked="0"/>
    </xf>
    <xf numFmtId="0" fontId="5" fillId="0" borderId="45" xfId="0" applyFont="1" applyBorder="1" applyAlignment="1">
      <alignment horizontal="center" vertical="center"/>
    </xf>
    <xf numFmtId="2" fontId="7" fillId="0" borderId="46" xfId="0" applyNumberFormat="1" applyFont="1" applyBorder="1" applyAlignment="1">
      <alignment horizontal="center" vertical="center"/>
    </xf>
    <xf numFmtId="0" fontId="12" fillId="0" borderId="12" xfId="2" applyFont="1" applyBorder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2" fillId="0" borderId="28" xfId="2" applyFont="1" applyBorder="1" applyAlignment="1">
      <alignment horizontal="left" vertical="center"/>
    </xf>
    <xf numFmtId="0" fontId="12" fillId="0" borderId="28" xfId="2" applyFont="1" applyBorder="1" applyAlignment="1">
      <alignment horizontal="left" vertical="center" wrapText="1"/>
    </xf>
    <xf numFmtId="0" fontId="12" fillId="0" borderId="29" xfId="2" applyFont="1" applyBorder="1" applyAlignment="1">
      <alignment horizontal="center" vertical="center"/>
    </xf>
    <xf numFmtId="165" fontId="17" fillId="0" borderId="47" xfId="2" applyNumberFormat="1" applyFont="1" applyBorder="1" applyAlignment="1">
      <alignment horizontal="center" vertical="center"/>
    </xf>
    <xf numFmtId="165" fontId="17" fillId="0" borderId="14" xfId="2" applyNumberFormat="1" applyFont="1" applyBorder="1" applyAlignment="1">
      <alignment horizontal="center" vertical="center"/>
    </xf>
    <xf numFmtId="165" fontId="17" fillId="0" borderId="48" xfId="2" applyNumberFormat="1" applyFont="1" applyBorder="1" applyAlignment="1">
      <alignment horizontal="center" vertical="center"/>
    </xf>
    <xf numFmtId="0" fontId="12" fillId="0" borderId="49" xfId="2" applyFont="1" applyBorder="1" applyAlignment="1">
      <alignment horizontal="left" vertical="center"/>
    </xf>
    <xf numFmtId="0" fontId="12" fillId="0" borderId="19" xfId="2" applyFont="1" applyBorder="1" applyAlignment="1">
      <alignment horizontal="center" vertical="center"/>
    </xf>
    <xf numFmtId="0" fontId="12" fillId="0" borderId="50" xfId="2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28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2" fontId="5" fillId="0" borderId="51" xfId="0" applyNumberFormat="1" applyFont="1" applyBorder="1" applyAlignment="1">
      <alignment horizontal="center" vertical="center"/>
    </xf>
    <xf numFmtId="2" fontId="5" fillId="2" borderId="10" xfId="0" quotePrefix="1" applyNumberFormat="1" applyFont="1" applyFill="1" applyBorder="1" applyAlignment="1" applyProtection="1">
      <alignment horizontal="center" vertical="center"/>
      <protection locked="0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57" xfId="0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 vertical="center"/>
    </xf>
    <xf numFmtId="2" fontId="5" fillId="0" borderId="46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6" fontId="5" fillId="0" borderId="17" xfId="0" applyNumberFormat="1" applyFont="1" applyBorder="1" applyAlignment="1">
      <alignment horizontal="center" vertical="center"/>
    </xf>
    <xf numFmtId="166" fontId="5" fillId="0" borderId="69" xfId="0" applyNumberFormat="1" applyFont="1" applyBorder="1" applyAlignment="1">
      <alignment horizontal="center" vertical="center"/>
    </xf>
    <xf numFmtId="168" fontId="12" fillId="0" borderId="0" xfId="0" applyNumberFormat="1" applyFont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/>
    <xf numFmtId="2" fontId="0" fillId="0" borderId="0" xfId="0" applyNumberFormat="1" applyAlignment="1">
      <alignment horizontal="center"/>
    </xf>
    <xf numFmtId="0" fontId="22" fillId="0" borderId="15" xfId="0" applyFont="1" applyBorder="1" applyAlignment="1">
      <alignment vertical="center" wrapText="1"/>
    </xf>
    <xf numFmtId="0" fontId="22" fillId="0" borderId="7" xfId="0" applyFont="1" applyBorder="1" applyAlignment="1">
      <alignment vertical="center" wrapText="1"/>
    </xf>
    <xf numFmtId="0" fontId="5" fillId="0" borderId="9" xfId="0" applyFont="1" applyBorder="1" applyAlignment="1">
      <alignment horizontal="center"/>
    </xf>
    <xf numFmtId="2" fontId="5" fillId="0" borderId="10" xfId="0" applyNumberFormat="1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2" fontId="5" fillId="0" borderId="69" xfId="0" applyNumberFormat="1" applyFont="1" applyBorder="1" applyAlignment="1">
      <alignment horizontal="center"/>
    </xf>
    <xf numFmtId="0" fontId="5" fillId="0" borderId="76" xfId="0" applyFont="1" applyBorder="1" applyAlignment="1">
      <alignment horizontal="center"/>
    </xf>
    <xf numFmtId="2" fontId="5" fillId="0" borderId="77" xfId="0" applyNumberFormat="1" applyFont="1" applyBorder="1" applyAlignment="1">
      <alignment horizontal="center"/>
    </xf>
    <xf numFmtId="0" fontId="22" fillId="0" borderId="3" xfId="0" applyFont="1" applyBorder="1" applyAlignment="1">
      <alignment horizontal="center" vertical="center" wrapText="1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8" fillId="0" borderId="0" xfId="6" applyFont="1"/>
    <xf numFmtId="2" fontId="5" fillId="0" borderId="0" xfId="0" applyNumberFormat="1" applyFont="1"/>
    <xf numFmtId="0" fontId="29" fillId="0" borderId="1" xfId="0" applyFont="1" applyBorder="1" applyAlignment="1">
      <alignment horizontal="center" vertical="center" wrapText="1"/>
    </xf>
    <xf numFmtId="0" fontId="17" fillId="0" borderId="9" xfId="0" applyFont="1" applyBorder="1"/>
    <xf numFmtId="0" fontId="5" fillId="0" borderId="10" xfId="0" applyFont="1" applyBorder="1"/>
    <xf numFmtId="169" fontId="5" fillId="0" borderId="10" xfId="0" applyNumberFormat="1" applyFont="1" applyBorder="1"/>
    <xf numFmtId="0" fontId="17" fillId="10" borderId="9" xfId="0" applyFont="1" applyFill="1" applyBorder="1"/>
    <xf numFmtId="2" fontId="5" fillId="10" borderId="10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0" fontId="17" fillId="10" borderId="11" xfId="0" applyFont="1" applyFill="1" applyBorder="1"/>
    <xf numFmtId="169" fontId="6" fillId="2" borderId="69" xfId="0" applyNumberFormat="1" applyFont="1" applyFill="1" applyBorder="1" applyAlignment="1">
      <alignment horizontal="center" vertical="center"/>
    </xf>
    <xf numFmtId="0" fontId="17" fillId="0" borderId="76" xfId="0" applyFont="1" applyBorder="1"/>
    <xf numFmtId="0" fontId="5" fillId="0" borderId="77" xfId="0" quotePrefix="1" applyFont="1" applyBorder="1"/>
    <xf numFmtId="0" fontId="17" fillId="0" borderId="1" xfId="0" applyFont="1" applyBorder="1"/>
    <xf numFmtId="0" fontId="5" fillId="0" borderId="3" xfId="0" applyFont="1" applyBorder="1" applyAlignment="1">
      <alignment horizontal="center"/>
    </xf>
    <xf numFmtId="2" fontId="5" fillId="0" borderId="0" xfId="0" applyNumberFormat="1" applyFont="1" applyAlignment="1">
      <alignment horizontal="center"/>
    </xf>
    <xf numFmtId="49" fontId="5" fillId="0" borderId="0" xfId="0" applyNumberFormat="1" applyFont="1"/>
    <xf numFmtId="166" fontId="5" fillId="0" borderId="12" xfId="0" applyNumberFormat="1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6" fillId="0" borderId="5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6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13" fillId="0" borderId="8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6" fillId="0" borderId="74" xfId="0" applyFont="1" applyBorder="1" applyAlignment="1">
      <alignment horizontal="center" vertical="center"/>
    </xf>
    <xf numFmtId="0" fontId="5" fillId="2" borderId="70" xfId="0" applyFont="1" applyFill="1" applyBorder="1" applyAlignment="1">
      <alignment horizontal="center" vertical="center"/>
    </xf>
    <xf numFmtId="0" fontId="5" fillId="2" borderId="75" xfId="0" applyFont="1" applyFill="1" applyBorder="1" applyAlignment="1">
      <alignment horizontal="center" vertical="center"/>
    </xf>
    <xf numFmtId="0" fontId="21" fillId="8" borderId="64" xfId="0" applyFont="1" applyFill="1" applyBorder="1" applyAlignment="1">
      <alignment horizontal="left" vertical="center" wrapText="1"/>
    </xf>
    <xf numFmtId="0" fontId="21" fillId="8" borderId="65" xfId="0" applyFont="1" applyFill="1" applyBorder="1" applyAlignment="1">
      <alignment horizontal="left" vertical="center" wrapText="1"/>
    </xf>
    <xf numFmtId="0" fontId="21" fillId="8" borderId="67" xfId="0" applyFont="1" applyFill="1" applyBorder="1" applyAlignment="1">
      <alignment horizontal="left" vertical="center" wrapText="1"/>
    </xf>
    <xf numFmtId="0" fontId="21" fillId="8" borderId="66" xfId="0" applyFont="1" applyFill="1" applyBorder="1" applyAlignment="1">
      <alignment horizontal="left" vertical="center" wrapText="1"/>
    </xf>
    <xf numFmtId="0" fontId="21" fillId="8" borderId="52" xfId="0" applyFont="1" applyFill="1" applyBorder="1" applyAlignment="1">
      <alignment horizontal="left" vertical="center" wrapText="1"/>
    </xf>
    <xf numFmtId="0" fontId="21" fillId="8" borderId="68" xfId="0" applyFont="1" applyFill="1" applyBorder="1" applyAlignment="1">
      <alignment horizontal="left" vertical="center" wrapText="1"/>
    </xf>
    <xf numFmtId="0" fontId="26" fillId="0" borderId="53" xfId="0" applyFont="1" applyBorder="1" applyAlignment="1">
      <alignment horizontal="right" vertical="center" wrapText="1"/>
    </xf>
    <xf numFmtId="0" fontId="26" fillId="0" borderId="16" xfId="0" applyFont="1" applyBorder="1" applyAlignment="1">
      <alignment horizontal="right" vertical="center" wrapText="1"/>
    </xf>
    <xf numFmtId="0" fontId="26" fillId="0" borderId="11" xfId="0" applyFont="1" applyBorder="1" applyAlignment="1">
      <alignment horizontal="right" vertical="center" wrapText="1"/>
    </xf>
    <xf numFmtId="0" fontId="26" fillId="0" borderId="54" xfId="0" applyFont="1" applyBorder="1" applyAlignment="1">
      <alignment horizontal="right" vertical="center" wrapText="1"/>
    </xf>
    <xf numFmtId="0" fontId="5" fillId="0" borderId="5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24" fillId="0" borderId="52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2" fontId="5" fillId="2" borderId="62" xfId="0" applyNumberFormat="1" applyFont="1" applyFill="1" applyBorder="1" applyAlignment="1" applyProtection="1">
      <alignment horizontal="center" vertical="center"/>
      <protection locked="0"/>
    </xf>
    <xf numFmtId="2" fontId="5" fillId="2" borderId="63" xfId="0" applyNumberFormat="1" applyFont="1" applyFill="1" applyBorder="1" applyAlignment="1" applyProtection="1">
      <alignment horizontal="center" vertical="center"/>
      <protection locked="0"/>
    </xf>
    <xf numFmtId="0" fontId="6" fillId="0" borderId="24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2" fontId="5" fillId="0" borderId="24" xfId="0" applyNumberFormat="1" applyFont="1" applyBorder="1" applyAlignment="1">
      <alignment horizontal="center" vertical="center"/>
    </xf>
    <xf numFmtId="2" fontId="5" fillId="0" borderId="43" xfId="0" applyNumberFormat="1" applyFont="1" applyBorder="1" applyAlignment="1">
      <alignment horizontal="center" vertical="center"/>
    </xf>
    <xf numFmtId="2" fontId="5" fillId="2" borderId="60" xfId="0" applyNumberFormat="1" applyFont="1" applyFill="1" applyBorder="1" applyAlignment="1" applyProtection="1">
      <alignment horizontal="center" vertical="center"/>
      <protection locked="0"/>
    </xf>
    <xf numFmtId="2" fontId="5" fillId="2" borderId="61" xfId="0" applyNumberFormat="1" applyFont="1" applyFill="1" applyBorder="1" applyAlignment="1" applyProtection="1">
      <alignment horizontal="center" vertical="center"/>
      <protection locked="0"/>
    </xf>
    <xf numFmtId="2" fontId="5" fillId="2" borderId="25" xfId="0" applyNumberFormat="1" applyFont="1" applyFill="1" applyBorder="1" applyAlignment="1" applyProtection="1">
      <alignment horizontal="center" vertical="center"/>
      <protection locked="0"/>
    </xf>
    <xf numFmtId="2" fontId="5" fillId="2" borderId="59" xfId="0" applyNumberFormat="1" applyFont="1" applyFill="1" applyBorder="1" applyAlignment="1" applyProtection="1">
      <alignment horizontal="center" vertical="center"/>
      <protection locked="0"/>
    </xf>
    <xf numFmtId="0" fontId="9" fillId="7" borderId="8" xfId="0" applyFont="1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4" borderId="33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0" fontId="9" fillId="4" borderId="30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14" fontId="17" fillId="0" borderId="12" xfId="2" applyNumberFormat="1" applyFont="1" applyBorder="1" applyAlignment="1">
      <alignment horizontal="center" vertical="center"/>
    </xf>
  </cellXfs>
  <cellStyles count="7">
    <cellStyle name="Hiperlink" xfId="6" builtinId="8"/>
    <cellStyle name="Normal" xfId="0" builtinId="0"/>
    <cellStyle name="Normal 2" xfId="1" xr:uid="{00000000-0005-0000-0000-000002000000}"/>
    <cellStyle name="Normal 3" xfId="2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1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Arial"/>
        <scheme val="none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  <name val="Arial"/>
        <scheme val="none"/>
      </font>
    </dxf>
    <dxf>
      <font>
        <strike val="0"/>
        <outline val="0"/>
        <shadow val="0"/>
        <vertAlign val="baseline"/>
        <sz val="12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8" formatCode="0\ &quot;ton/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z val="12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outline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8" formatCode="0\ &quot;ton/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0.0&quot;mm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</xdr:colOff>
      <xdr:row>11</xdr:row>
      <xdr:rowOff>0</xdr:rowOff>
    </xdr:from>
    <xdr:to>
      <xdr:col>28</xdr:col>
      <xdr:colOff>855934</xdr:colOff>
      <xdr:row>18</xdr:row>
      <xdr:rowOff>235206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1" y="2794000"/>
          <a:ext cx="1728000" cy="2013206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dobras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</xdr:row>
      <xdr:rowOff>0</xdr:rowOff>
    </xdr:from>
    <xdr:to>
      <xdr:col>3</xdr:col>
      <xdr:colOff>18406</xdr:colOff>
      <xdr:row>16</xdr:row>
      <xdr:rowOff>0</xdr:rowOff>
    </xdr:to>
    <xdr:pic>
      <xdr:nvPicPr>
        <xdr:cNvPr id="2" name="Imagem 1" descr="Sheet metal forming processes and die design - Industrial Press Inc. 2004 - Boljanovic Vukota.pdf (Aberto pelo Adobe Document Cloud) - Adobe Acrobat Reader DC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455" t="30218" r="36071" b="35062"/>
        <a:stretch/>
      </xdr:blipFill>
      <xdr:spPr>
        <a:xfrm>
          <a:off x="182880" y="2263140"/>
          <a:ext cx="2571106" cy="17602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</xdr:col>
      <xdr:colOff>0</xdr:colOff>
      <xdr:row>17</xdr:row>
      <xdr:rowOff>1</xdr:rowOff>
    </xdr:from>
    <xdr:to>
      <xdr:col>4</xdr:col>
      <xdr:colOff>0</xdr:colOff>
      <xdr:row>22</xdr:row>
      <xdr:rowOff>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82880" y="4274821"/>
          <a:ext cx="2948940" cy="1257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Fontes:</a:t>
          </a:r>
        </a:p>
        <a:p>
          <a:endParaRPr lang="pt-BR" sz="1000" b="0" i="0" u="none" strike="noStrike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http://www.matweb.com/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</a:p>
        <a:p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https://steelselector.sij.si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http://li.mit.edu/Stuff/RHW/Upload/49.pdf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SHEET METAL FORMING PROCESSES AND DIE DESIGN (pg. 64)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7</xdr:col>
      <xdr:colOff>0</xdr:colOff>
      <xdr:row>13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72740" y="2514600"/>
          <a:ext cx="3246120" cy="754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Y</a:t>
          </a:r>
          <a:r>
            <a:rPr lang="pt-BR" sz="1000">
              <a:latin typeface="Arial" pitchFamily="34" charset="0"/>
              <a:cs typeface="Arial" pitchFamily="34" charset="0"/>
            </a:rPr>
            <a:t> =</a:t>
          </a:r>
          <a:r>
            <a:rPr lang="pt-BR" sz="1000" baseline="0">
              <a:latin typeface="Arial" pitchFamily="34" charset="0"/>
              <a:cs typeface="Arial" pitchFamily="34" charset="0"/>
            </a:rPr>
            <a:t> </a:t>
          </a:r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Limite de escoamento [N/mm²]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</a:p>
        <a:p>
          <a:pPr algn="l"/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</a:t>
          </a:r>
          <a:r>
            <a:rPr lang="pt-BR" sz="1000">
              <a:latin typeface="Arial" pitchFamily="34" charset="0"/>
              <a:cs typeface="Arial" pitchFamily="34" charset="0"/>
            </a:rPr>
            <a:t> = </a:t>
          </a:r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Módulo de Elasticidade [N/mm²]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</a:p>
        <a:p>
          <a:pPr algn="l"/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Ks =</a:t>
          </a:r>
          <a:r>
            <a:rPr lang="pt-BR" sz="1000">
              <a:latin typeface="Arial" pitchFamily="34" charset="0"/>
              <a:cs typeface="Arial" pitchFamily="34" charset="0"/>
            </a:rPr>
            <a:t> </a:t>
          </a:r>
          <a:r>
            <a:rPr lang="pt-BR" sz="1000" b="0" i="0" u="none" strike="noStrike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Springback Fator </a:t>
          </a:r>
          <a:endParaRPr lang="pt-BR" sz="10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-DESENHO/ESTUDO%20SPRING%20BA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  <sheetName val="ESTUDO SPRING BACK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ARBONO" displayName="CARBONO" ref="B25:I73" totalsRowShown="0" headerRowDxfId="102" tableBorderDxfId="101">
  <autoFilter ref="B25:I73" xr:uid="{00000000-0009-0000-0100-000002000000}"/>
  <sortState xmlns:xlrd2="http://schemas.microsoft.com/office/spreadsheetml/2017/richdata2" ref="B24:E63">
    <sortCondition ref="B23:B63"/>
  </sortState>
  <tableColumns count="8">
    <tableColumn id="1" xr3:uid="{00000000-0010-0000-0000-000001000000}" name="ESP" dataDxfId="100"/>
    <tableColumn id="2" xr3:uid="{00000000-0010-0000-0000-000002000000}" name="CANAL" dataDxfId="99"/>
    <tableColumn id="3" xr3:uid="{00000000-0010-0000-0000-000003000000}" name="DEDUÇÃO" dataDxfId="98"/>
    <tableColumn id="9" xr3:uid="{00000000-0010-0000-0000-000009000000}" name="FORÇA" dataDxfId="97"/>
    <tableColumn id="4" xr3:uid="{00000000-0010-0000-0000-000004000000}" name="OBS" dataDxfId="96"/>
    <tableColumn id="5" xr3:uid="{00000000-0010-0000-0000-000005000000}" name="AUX1" dataDxfId="95">
      <calculatedColumnFormula>ROWS($B$26:CARBONO[[#This Row],[ESP]])</calculatedColumnFormula>
    </tableColumn>
    <tableColumn id="6" xr3:uid="{00000000-0010-0000-0000-000006000000}" name="AUX2" dataDxfId="94">
      <calculatedColumnFormula>IF(CARBONO[[#This Row],[ESP]]=$D$3,CARBONO[[#This Row],[AUX1]],"")</calculatedColumnFormula>
    </tableColumn>
    <tableColumn id="7" xr3:uid="{00000000-0010-0000-0000-000007000000}" name="AUX3" dataDxfId="93">
      <calculatedColumnFormula>IFERROR(SMALL(CARBONO[AUX2],CARBONO[[#This Row],[AUX1]]),"")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NOX" displayName="INOX" ref="K25:R67" headerRowDxfId="92" dataDxfId="91" totalsRowDxfId="89" tableBorderDxfId="90">
  <autoFilter ref="K25:R67" xr:uid="{00000000-0009-0000-0100-000003000000}"/>
  <sortState xmlns:xlrd2="http://schemas.microsoft.com/office/spreadsheetml/2017/richdata2" ref="K24:Q53">
    <sortCondition ref="K23:K53"/>
  </sortState>
  <tableColumns count="8">
    <tableColumn id="1" xr3:uid="{00000000-0010-0000-0100-000001000000}" name="ESP" totalsRowLabel="Total" dataDxfId="88" totalsRowDxfId="87"/>
    <tableColumn id="2" xr3:uid="{00000000-0010-0000-0100-000002000000}" name="CANAL" dataDxfId="86" totalsRowDxfId="85"/>
    <tableColumn id="3" xr3:uid="{00000000-0010-0000-0100-000003000000}" name="DEDUÇÃO" dataDxfId="84" totalsRowDxfId="83"/>
    <tableColumn id="8" xr3:uid="{00000000-0010-0000-0100-000008000000}" name="FORÇA" dataDxfId="82" totalsRowDxfId="81"/>
    <tableColumn id="4" xr3:uid="{00000000-0010-0000-0100-000004000000}" name="OBS" totalsRowFunction="count" dataDxfId="80" totalsRowDxfId="79"/>
    <tableColumn id="5" xr3:uid="{00000000-0010-0000-0100-000005000000}" name="AUX1" dataDxfId="78" totalsRowDxfId="77">
      <calculatedColumnFormula>ROWS($K$26:INOX[[#This Row],[ESP]])</calculatedColumnFormula>
    </tableColumn>
    <tableColumn id="6" xr3:uid="{00000000-0010-0000-0100-000006000000}" name="AUX2" dataDxfId="76" totalsRowDxfId="75">
      <calculatedColumnFormula>IF(INOX[[#This Row],[ESP]]=$D$3,INOX[[#This Row],[AUX1]],"")</calculatedColumnFormula>
    </tableColumn>
    <tableColumn id="7" xr3:uid="{00000000-0010-0000-0100-000007000000}" name="AUX3" dataDxfId="74" totalsRowDxfId="73">
      <calculatedColumnFormula>IFERROR(SMALL(INOX[AUX2],INOX[[#This Row],[AUX1]]),"")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L_5052" displayName="AL_5052" ref="AB25:AH34" totalsRowShown="0" headerRowDxfId="72" dataDxfId="71" tableBorderDxfId="70">
  <autoFilter ref="AB25:AH34" xr:uid="{00000000-0009-0000-0100-000005000000}"/>
  <sortState xmlns:xlrd2="http://schemas.microsoft.com/office/spreadsheetml/2017/richdata2" ref="AB19:AH27">
    <sortCondition ref="AB57:AB66"/>
  </sortState>
  <tableColumns count="7">
    <tableColumn id="1" xr3:uid="{00000000-0010-0000-0200-000001000000}" name="ESP" dataDxfId="69"/>
    <tableColumn id="2" xr3:uid="{00000000-0010-0000-0200-000002000000}" name="CANAL" dataDxfId="68"/>
    <tableColumn id="3" xr3:uid="{00000000-0010-0000-0200-000003000000}" name="DEDUÇÃO" dataDxfId="67"/>
    <tableColumn id="4" xr3:uid="{00000000-0010-0000-0200-000004000000}" name="OBS" dataDxfId="66"/>
    <tableColumn id="5" xr3:uid="{00000000-0010-0000-0200-000005000000}" name="AUX1" dataDxfId="65">
      <calculatedColumnFormula>ROWS($AB$26:AL_5052[[#This Row],[ESP]])</calculatedColumnFormula>
    </tableColumn>
    <tableColumn id="6" xr3:uid="{00000000-0010-0000-0200-000006000000}" name="AUX2" dataDxfId="64">
      <calculatedColumnFormula>IF(AL_5052[[#This Row],[ESP]]=$D$3,AL_5052[[#This Row],[AUX1]],"")</calculatedColumnFormula>
    </tableColumn>
    <tableColumn id="7" xr3:uid="{00000000-0010-0000-0200-000007000000}" name="AUX3" dataDxfId="63">
      <calculatedColumnFormula>IFERROR(SMALL(AL_5052[AUX2],AL_5052[[#This Row],[AUX1]]),"")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AL_H14" displayName="AL_H14" ref="T25:Z41" headerRowDxfId="62" tableBorderDxfId="61">
  <autoFilter ref="T25:Z41" xr:uid="{00000000-0009-0000-0100-000001000000}"/>
  <sortState xmlns:xlrd2="http://schemas.microsoft.com/office/spreadsheetml/2017/richdata2" ref="T25:Z38">
    <sortCondition ref="T25"/>
  </sortState>
  <tableColumns count="7">
    <tableColumn id="1" xr3:uid="{00000000-0010-0000-0300-000001000000}" name="ESP" totalsRowLabel="Total" dataDxfId="60"/>
    <tableColumn id="2" xr3:uid="{00000000-0010-0000-0300-000002000000}" name="CANAL" dataDxfId="59"/>
    <tableColumn id="3" xr3:uid="{00000000-0010-0000-0300-000003000000}" name="DEDUÇÃO" dataDxfId="58"/>
    <tableColumn id="4" xr3:uid="{00000000-0010-0000-0300-000004000000}" name="OBS" totalsRowFunction="count" dataDxfId="57"/>
    <tableColumn id="5" xr3:uid="{00000000-0010-0000-0300-000005000000}" name="AUX1" dataDxfId="56" totalsRowDxfId="55">
      <calculatedColumnFormula>ROWS($T$26:AL_H14[[#This Row],[ESP]])</calculatedColumnFormula>
    </tableColumn>
    <tableColumn id="6" xr3:uid="{00000000-0010-0000-0300-000006000000}" name="AUX2" dataDxfId="54" totalsRowDxfId="53">
      <calculatedColumnFormula>IF(AL_H14[[#This Row],[ESP]]=$D$3,AL_H14[[#This Row],[AUX1]],"")</calculatedColumnFormula>
    </tableColumn>
    <tableColumn id="7" xr3:uid="{00000000-0010-0000-0300-000007000000}" name="AUX3" dataDxfId="52" totalsRowDxfId="51">
      <calculatedColumnFormula>IFERROR(SMALL(AL_H14[AUX2],AL_H14[[#This Row],[AUX1]]),"")</calculatedColumnFormula>
    </tableColumn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AL_H114" displayName="AL_H114" ref="AJ25:AM27" totalsRowShown="0" headerRowDxfId="50" tableBorderDxfId="49">
  <autoFilter ref="AJ25:AM27" xr:uid="{00000000-0009-0000-0100-000009000000}"/>
  <tableColumns count="4">
    <tableColumn id="1" xr3:uid="{00000000-0010-0000-0400-000001000000}" name="ESP" dataDxfId="48"/>
    <tableColumn id="2" xr3:uid="{00000000-0010-0000-0400-000002000000}" name="CANAL" dataDxfId="47"/>
    <tableColumn id="3" xr3:uid="{00000000-0010-0000-0400-000003000000}" name="DEDUÇÃO" dataDxfId="46"/>
    <tableColumn id="4" xr3:uid="{00000000-0010-0000-0400-000004000000}" name="OBS" dataDxfId="45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AL_H111" displayName="AL_H111" ref="AO25:AR27" totalsRowShown="0" headerRowDxfId="44" tableBorderDxfId="43">
  <autoFilter ref="AO25:AR27" xr:uid="{00000000-0009-0000-0100-00000B000000}"/>
  <tableColumns count="4">
    <tableColumn id="1" xr3:uid="{00000000-0010-0000-0500-000001000000}" name="ESP" dataDxfId="42"/>
    <tableColumn id="2" xr3:uid="{00000000-0010-0000-0500-000002000000}" name="CANAL" dataDxfId="41"/>
    <tableColumn id="3" xr3:uid="{00000000-0010-0000-0500-000003000000}" name="DEDUÇÃO" dataDxfId="40"/>
    <tableColumn id="4" xr3:uid="{00000000-0010-0000-0500-000004000000}" name="OBS" dataDxfId="39"/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CANAL" displayName="CANAL" ref="G2:J19" totalsRowShown="0" headerRowDxfId="38" dataDxfId="37">
  <autoFilter ref="G2:J19" xr:uid="{00000000-0009-0000-0100-000006000000}"/>
  <tableColumns count="4">
    <tableColumn id="1" xr3:uid="{00000000-0010-0000-0600-000001000000}" name="CANAL CARB" dataDxfId="36">
      <calculatedColumnFormula>IF(MATERIAL="CARBONO",IFERROR(INDEX(CARBONO[CANAL],Cálculos!$I26,COLUMNS($G$3:G3))," ")," ")</calculatedColumnFormula>
    </tableColumn>
    <tableColumn id="2" xr3:uid="{00000000-0010-0000-0600-000002000000}" name="CANAL INOX" dataDxfId="35">
      <calculatedColumnFormula>IF(MATERIAL="INOX",IFERROR(INDEX(INOX[CANAL],Cálculos!$R26,COLUMNS($H$3:H3))," ")," ")</calculatedColumnFormula>
    </tableColumn>
    <tableColumn id="3" xr3:uid="{00000000-0010-0000-0600-000003000000}" name="CANAL A5052" dataDxfId="34">
      <calculatedColumnFormula>IF(MATERIAL="A5052",IFERROR(INDEX(AL_5052[CANAL],Cálculos!$AH26,COLUMNS($I$3:I3))," ")," ")</calculatedColumnFormula>
    </tableColumn>
    <tableColumn id="4" xr3:uid="{00000000-0010-0000-0600-000004000000}" name="CANAL H14" dataDxfId="33">
      <calculatedColumnFormula>IF(MATERIAL="H14",IFERROR(INDEX(AL_H14[CANAL],Cálculos!$Z26,COLUMNS($J$3:J3))," ")," 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MATERIAIS" displayName="MATERIAIS" ref="L2:L6" totalsRowShown="0" headerRowDxfId="32" dataDxfId="31">
  <autoFilter ref="L2:L6" xr:uid="{00000000-0009-0000-0100-000007000000}"/>
  <tableColumns count="1">
    <tableColumn id="1" xr3:uid="{00000000-0010-0000-0700-000001000000}" name="MATERIAIS" dataDxfId="3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ESP" displayName="ESP" ref="B2:E19" headerRowDxfId="29" dataDxfId="28" totalsRowDxfId="27">
  <autoFilter ref="B2:E19" xr:uid="{00000000-0009-0000-0100-000008000000}"/>
  <tableColumns count="4">
    <tableColumn id="1" xr3:uid="{00000000-0010-0000-0800-000001000000}" name="ESP. CARBONO" totalsRowLabel="Total" dataDxfId="26">
      <calculatedColumnFormula>IFERROR(INDEX(CARBONO[ESP],MATCH(0,INDEX(COUNTIF($B$2:B2,CARBONO[ESP]),),)),"")</calculatedColumnFormula>
    </tableColumn>
    <tableColumn id="2" xr3:uid="{00000000-0010-0000-0800-000002000000}" name="ESP. INOX" dataDxfId="25">
      <calculatedColumnFormula>IFERROR(INDEX(INOX[ESP],MATCH(0,INDEX(COUNTIF($C$2:C2,INOX[ESP]),),)),"")</calculatedColumnFormula>
    </tableColumn>
    <tableColumn id="3" xr3:uid="{00000000-0010-0000-0800-000003000000}" name="ESP. A5052" totalsRowFunction="count" dataDxfId="24">
      <calculatedColumnFormula>IFERROR(INDEX(AL_5052[ESP],MATCH(0,INDEX(COUNTIF($D$2:D2,AL_5052[ESP]),),)),"")</calculatedColumnFormula>
    </tableColumn>
    <tableColumn id="4" xr3:uid="{00000000-0010-0000-0800-000004000000}" name="ESP. H14" dataDxfId="23">
      <calculatedColumnFormula>IFERROR(INDEX(AL_H14[ESP],MATCH(0,INDEX(COUNTIF($E$2:E2,AL_H14[ESP]),),)),"")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canais" displayName="canais" ref="F2:G11" totalsRowShown="0" headerRowDxfId="22" dataDxfId="20" headerRowBorderDxfId="21" tableBorderDxfId="19" totalsRowBorderDxfId="18">
  <autoFilter ref="F2:G11" xr:uid="{00000000-0009-0000-0100-000004000000}"/>
  <tableColumns count="2">
    <tableColumn id="1" xr3:uid="{00000000-0010-0000-0900-000001000000}" name="V" dataDxfId="17"/>
    <tableColumn id="2" xr3:uid="{00000000-0010-0000-0900-000002000000}" name="L/2" dataDxfId="1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Ferramentas" displayName="Ferramentas" ref="A3:D20" totalsRowShown="0" headerRowDxfId="15" dataDxfId="13" headerRowBorderDxfId="14" tableBorderDxfId="12" totalsRowBorderDxfId="11" headerRowCellStyle="Normal 3">
  <autoFilter ref="A3:D20" xr:uid="{00000000-0009-0000-0100-00000A000000}"/>
  <tableColumns count="4">
    <tableColumn id="1" xr3:uid="{00000000-0010-0000-0A00-000001000000}" name="PUNÇÃO " dataDxfId="10" dataCellStyle="Normal 3"/>
    <tableColumn id="2" xr3:uid="{00000000-0010-0000-0A00-000002000000}" name="TAMANHO" dataDxfId="9" dataCellStyle="Normal 3"/>
    <tableColumn id="3" xr3:uid="{00000000-0010-0000-0A00-000003000000}" name="ALTURA" dataDxfId="8" dataCellStyle="Normal 3"/>
    <tableColumn id="4" xr3:uid="{00000000-0010-0000-0A00-000004000000}" name="OBS " dataDxfId="7" dataCellStyle="Normal 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PROPRIEDADES" displayName="PROPRIEDADES" ref="E2:H9" totalsRowShown="0" headerRowDxfId="6" dataDxfId="5" tableBorderDxfId="4">
  <autoFilter ref="E2:H9" xr:uid="{00000000-0009-0000-0100-00000C000000}"/>
  <sortState xmlns:xlrd2="http://schemas.microsoft.com/office/spreadsheetml/2017/richdata2" ref="E3:H9">
    <sortCondition ref="E2:E9"/>
  </sortState>
  <tableColumns count="4">
    <tableColumn id="1" xr3:uid="{00000000-0010-0000-0B00-000001000000}" name="MATERIAL" dataDxfId="3"/>
    <tableColumn id="2" xr3:uid="{00000000-0010-0000-0B00-000002000000}" name="Y" dataDxfId="2"/>
    <tableColumn id="3" xr3:uid="{00000000-0010-0000-0B00-000003000000}" name="E" dataDxfId="1"/>
    <tableColumn id="4" xr3:uid="{00000000-0010-0000-0B00-000004000000}" name="ks" dataDxfId="0">
      <calculatedColumnFormula>IFERROR(1-3*(PROPRIEDADES[[#This Row],[Y]]*Rf/PROPRIEDADES[[#This Row],[E]]/T)+4*(PROPRIEDADES[[#This Row],[Y]]*Rf/PROPRIEDADES[[#This Row],[E]]/T)^3,"-")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ctr"/>
      <a:lstStyle>
        <a:defPPr algn="l">
          <a:defRPr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table" Target="../tables/table1.xml"/><Relationship Id="rId18" Type="http://schemas.openxmlformats.org/officeDocument/2006/relationships/table" Target="../tables/table6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2.xml"/><Relationship Id="rId1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6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ctrlProp" Target="../ctrlProps/ctrlProp1.xml"/><Relationship Id="rId5" Type="http://schemas.openxmlformats.org/officeDocument/2006/relationships/printerSettings" Target="../printerSettings/printerSettings5.bin"/><Relationship Id="rId15" Type="http://schemas.openxmlformats.org/officeDocument/2006/relationships/table" Target="../tables/table3.xml"/><Relationship Id="rId10" Type="http://schemas.openxmlformats.org/officeDocument/2006/relationships/vmlDrawing" Target="../drawings/vmlDrawing1.vml"/><Relationship Id="rId19" Type="http://schemas.openxmlformats.org/officeDocument/2006/relationships/comments" Target="../comments1.xml"/><Relationship Id="rId4" Type="http://schemas.openxmlformats.org/officeDocument/2006/relationships/printerSettings" Target="../printerSettings/printerSettings4.bin"/><Relationship Id="rId9" Type="http://schemas.openxmlformats.org/officeDocument/2006/relationships/drawing" Target="../drawings/drawing1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AR88"/>
  <sheetViews>
    <sheetView tabSelected="1" zoomScale="90" zoomScaleNormal="90" zoomScaleSheetLayoutView="55" workbookViewId="0">
      <selection activeCell="F5" sqref="F5"/>
    </sheetView>
  </sheetViews>
  <sheetFormatPr defaultColWidth="14.6328125" defaultRowHeight="20" customHeight="1" x14ac:dyDescent="0.25"/>
  <cols>
    <col min="1" max="1" width="2.6328125" style="3" customWidth="1"/>
    <col min="2" max="6" width="12.6328125" style="3" customWidth="1"/>
    <col min="7" max="9" width="14.6328125" hidden="1" customWidth="1"/>
    <col min="10" max="10" width="2.6328125" customWidth="1"/>
    <col min="11" max="15" width="12.6328125" style="3" customWidth="1"/>
    <col min="16" max="18" width="14.6328125" hidden="1" customWidth="1"/>
    <col min="19" max="19" width="2.6328125" customWidth="1"/>
    <col min="20" max="23" width="12.6328125" customWidth="1"/>
    <col min="24" max="24" width="14.6328125" hidden="1" customWidth="1"/>
    <col min="25" max="26" width="14.6328125" style="3" hidden="1" customWidth="1"/>
    <col min="27" max="27" width="2.6328125" style="3" customWidth="1"/>
    <col min="28" max="31" width="12.6328125" style="3" customWidth="1"/>
    <col min="32" max="34" width="0" style="3" hidden="1" customWidth="1"/>
    <col min="35" max="35" width="2.6328125" style="3" customWidth="1"/>
    <col min="36" max="39" width="14.6328125" style="3"/>
    <col min="40" max="40" width="2.6328125" style="3" customWidth="1"/>
    <col min="41" max="16384" width="14.6328125" style="3"/>
  </cols>
  <sheetData>
    <row r="1" spans="2:33" ht="20" customHeight="1" thickBot="1" x14ac:dyDescent="0.3"/>
    <row r="2" spans="2:33" ht="20" customHeight="1" thickBot="1" x14ac:dyDescent="0.3">
      <c r="B2" s="132" t="s">
        <v>11</v>
      </c>
      <c r="C2" s="133"/>
      <c r="D2" s="92" t="s">
        <v>93</v>
      </c>
      <c r="E2" s="92" t="s">
        <v>58</v>
      </c>
      <c r="F2" s="6" t="s">
        <v>10</v>
      </c>
      <c r="K2" s="145" t="s">
        <v>98</v>
      </c>
      <c r="L2" s="146"/>
      <c r="M2" s="146"/>
      <c r="N2" s="147"/>
      <c r="T2" s="144" t="s">
        <v>103</v>
      </c>
      <c r="U2" s="144"/>
      <c r="V2" s="144"/>
      <c r="W2" s="144"/>
      <c r="AD2" s="113" t="s">
        <v>135</v>
      </c>
      <c r="AE2" s="107" t="s">
        <v>134</v>
      </c>
      <c r="AF2" s="99"/>
      <c r="AG2" s="100"/>
    </row>
    <row r="3" spans="2:33" ht="20" customHeight="1" x14ac:dyDescent="0.35">
      <c r="B3" s="134"/>
      <c r="C3" s="135"/>
      <c r="D3" s="35"/>
      <c r="E3" s="8"/>
      <c r="F3" s="9"/>
      <c r="K3" s="148" t="s">
        <v>99</v>
      </c>
      <c r="L3" s="149"/>
      <c r="M3" s="150"/>
      <c r="N3" s="151"/>
      <c r="T3" s="144"/>
      <c r="U3" s="144"/>
      <c r="V3" s="144"/>
      <c r="W3" s="144"/>
      <c r="AD3" s="105">
        <v>0.1</v>
      </c>
      <c r="AE3" s="106">
        <v>0.23</v>
      </c>
    </row>
    <row r="4" spans="2:33" ht="20" customHeight="1" thickBot="1" x14ac:dyDescent="0.4">
      <c r="B4" s="134" t="s">
        <v>7</v>
      </c>
      <c r="C4" s="135"/>
      <c r="D4" s="128" t="str">
        <f>IF(D6=0,IFERROR(DEDUCAO_DOBRA,"Sem ref."),D6)</f>
        <v/>
      </c>
      <c r="E4" s="10" t="s">
        <v>57</v>
      </c>
      <c r="F4" s="75"/>
      <c r="K4" s="164" t="s">
        <v>100</v>
      </c>
      <c r="L4" s="165"/>
      <c r="M4" s="162" t="str">
        <f>IFERROR(IF(OR(MATERIAL="",CANAL_ENTRADA="",ESP_ENTRADA=""),"-",IF(MATERIAL="CARBONO",IF(AND(M3="",RELACAO_ESP_CANAL_FORCA_CARBONO&lt;&gt;"Sem correspondência"),CONCATENATE(RELACAO_ESP_CANAL_FORCA_CARBONO," ton/m"),IFERROR((CONCATENATE(ROUNDUP(M3*(RELACAO_ESP_CANAL_FORCA_CARBONO)/1000,0)," ton")),RELACAO_ESP_CANAL_FORCA_CARBONO)),IF(MATERIAL="INOX",IF(AND(M3="",RELACAO_ESP_CANAL_FORCA_INOX&lt;&gt;"Sem correspondência"),CONCATENATE(RELACAO_ESP_CANAL_FORCA_INOX," ton/m"),IFERROR(CONCATENATE(ROUNDUP(M3*(RELACAO_ESP_CANAL_FORCA_INOX)/1000,0)," ton"),RELACAO_ESP_CANAL_FORCA_INOX)),"Sem correspondência"))),"Sem correspondência")</f>
        <v>-</v>
      </c>
      <c r="N4" s="163"/>
      <c r="T4" s="144" t="s">
        <v>102</v>
      </c>
      <c r="U4" s="144"/>
      <c r="V4" s="144"/>
      <c r="W4" s="144"/>
      <c r="AD4" s="101">
        <v>0.2</v>
      </c>
      <c r="AE4" s="102">
        <v>0.28999999999999998</v>
      </c>
    </row>
    <row r="5" spans="2:33" ht="20" customHeight="1" thickBot="1" x14ac:dyDescent="0.4">
      <c r="B5" s="134"/>
      <c r="C5" s="135"/>
      <c r="D5" s="128"/>
      <c r="E5" s="10" t="s">
        <v>9</v>
      </c>
      <c r="F5" s="73" t="str">
        <f>IFERROR(IF(Fator_K&gt;0.5,"0,5",IF(Fator_K&lt;0,"0",Fator_K)),"-")</f>
        <v>-</v>
      </c>
      <c r="T5" s="166"/>
      <c r="U5" s="166"/>
      <c r="V5" s="166"/>
      <c r="W5" s="166"/>
      <c r="AD5" s="101">
        <v>0.3</v>
      </c>
      <c r="AE5" s="102">
        <v>0.32</v>
      </c>
    </row>
    <row r="6" spans="2:33" ht="20" customHeight="1" x14ac:dyDescent="0.35">
      <c r="B6" s="136" t="s">
        <v>47</v>
      </c>
      <c r="C6" s="137"/>
      <c r="D6" s="18"/>
      <c r="E6" s="10" t="s">
        <v>12</v>
      </c>
      <c r="F6" s="94" t="str">
        <f>IFERROR(IF(Fator_K&gt;1,"Valor inválido",Offset),"-")</f>
        <v>-</v>
      </c>
      <c r="L6" s="158" t="s">
        <v>67</v>
      </c>
      <c r="M6" s="159"/>
      <c r="N6" s="88" t="str">
        <f>IFERROR(((INDEX(canais[L/2],MATCH($E$3,canais[V]))))+$D$3+($D$4/2)+2,"-")</f>
        <v>-</v>
      </c>
      <c r="T6" s="152" t="s">
        <v>101</v>
      </c>
      <c r="U6" s="153"/>
      <c r="V6" s="153"/>
      <c r="W6" s="154"/>
      <c r="AD6" s="101">
        <v>0.4</v>
      </c>
      <c r="AE6" s="102">
        <v>0.35</v>
      </c>
    </row>
    <row r="7" spans="2:33" ht="20" customHeight="1" thickBot="1" x14ac:dyDescent="0.4">
      <c r="B7" s="134" t="s">
        <v>97</v>
      </c>
      <c r="C7" s="135"/>
      <c r="D7" s="138" t="str">
        <f>IFERROR(IF(OBS=0, "",OBS),"-")</f>
        <v>-</v>
      </c>
      <c r="E7" s="138"/>
      <c r="F7" s="139"/>
      <c r="L7" s="160" t="s">
        <v>66</v>
      </c>
      <c r="M7" s="161"/>
      <c r="N7" s="89" t="str">
        <f>IFERROR(IF($E$3=0,"-",($E$3/2)+$D$3+2),"Inválido")</f>
        <v>-</v>
      </c>
      <c r="T7" s="155"/>
      <c r="U7" s="156"/>
      <c r="V7" s="156"/>
      <c r="W7" s="157"/>
      <c r="AB7" s="5"/>
      <c r="AD7" s="101">
        <v>0.5</v>
      </c>
      <c r="AE7" s="102">
        <v>0.37</v>
      </c>
    </row>
    <row r="8" spans="2:33" ht="20" customHeight="1" thickBot="1" x14ac:dyDescent="0.4">
      <c r="B8" s="142"/>
      <c r="C8" s="143"/>
      <c r="D8" s="140"/>
      <c r="E8" s="140"/>
      <c r="F8" s="141"/>
      <c r="AD8" s="101">
        <v>0.6</v>
      </c>
      <c r="AE8" s="102">
        <f>AE7+(((AD8-AD7)/(AD10-AD7))*(AE10-AE7))</f>
        <v>0.38</v>
      </c>
    </row>
    <row r="9" spans="2:33" ht="20" customHeight="1" thickBot="1" x14ac:dyDescent="0.4">
      <c r="D9" s="93"/>
      <c r="E9" s="93"/>
      <c r="F9" s="93"/>
      <c r="AD9" s="101">
        <v>0.7</v>
      </c>
      <c r="AE9" s="102">
        <f>AE8+(((AD9-AD8)/(AD10-AD8))*(AE10-AE8))</f>
        <v>0.39</v>
      </c>
    </row>
    <row r="10" spans="2:33" ht="20" customHeight="1" thickBot="1" x14ac:dyDescent="0.4">
      <c r="B10" s="129" t="s">
        <v>55</v>
      </c>
      <c r="C10" s="130"/>
      <c r="D10" s="130"/>
      <c r="E10" s="130"/>
      <c r="F10" s="131"/>
      <c r="G10" s="3"/>
      <c r="I10" s="3"/>
      <c r="J10" s="3"/>
      <c r="K10" s="129" t="s">
        <v>55</v>
      </c>
      <c r="L10" s="130"/>
      <c r="M10" s="130"/>
      <c r="N10" s="130"/>
      <c r="O10" s="131"/>
      <c r="P10" s="3"/>
      <c r="Q10" s="3"/>
      <c r="R10" s="3"/>
      <c r="S10" s="3"/>
      <c r="T10" s="167" t="s">
        <v>53</v>
      </c>
      <c r="U10" s="168"/>
      <c r="V10" s="168"/>
      <c r="W10" s="169"/>
      <c r="X10" s="3"/>
      <c r="AA10" s="5"/>
      <c r="AD10" s="101">
        <v>0.8</v>
      </c>
      <c r="AE10" s="102">
        <v>0.4</v>
      </c>
    </row>
    <row r="11" spans="2:33" ht="20" customHeight="1" thickBot="1" x14ac:dyDescent="0.4">
      <c r="B11" s="82" t="s">
        <v>13</v>
      </c>
      <c r="C11" s="172" t="s">
        <v>117</v>
      </c>
      <c r="D11" s="173"/>
      <c r="E11" s="81" t="s">
        <v>59</v>
      </c>
      <c r="F11" s="12" t="s">
        <v>6</v>
      </c>
      <c r="K11" s="82" t="s">
        <v>13</v>
      </c>
      <c r="L11" s="172" t="s">
        <v>117</v>
      </c>
      <c r="M11" s="173"/>
      <c r="N11" s="81" t="s">
        <v>59</v>
      </c>
      <c r="O11" s="12" t="s">
        <v>6</v>
      </c>
      <c r="T11" s="11" t="s">
        <v>13</v>
      </c>
      <c r="U11" s="87" t="s">
        <v>56</v>
      </c>
      <c r="V11" s="83" t="s">
        <v>60</v>
      </c>
      <c r="W11" s="12" t="s">
        <v>59</v>
      </c>
      <c r="X11" s="3"/>
      <c r="AA11" s="5"/>
      <c r="AD11" s="101">
        <v>0.9</v>
      </c>
      <c r="AE11" s="102">
        <f>AE10+(((AD11-AD10)/(AD12-AD10))*(AE12-AE10))</f>
        <v>0.40500000000000003</v>
      </c>
    </row>
    <row r="12" spans="2:33" ht="20" customHeight="1" x14ac:dyDescent="0.35">
      <c r="B12" s="78" t="s">
        <v>14</v>
      </c>
      <c r="C12" s="178"/>
      <c r="D12" s="179"/>
      <c r="E12" s="37" t="str">
        <f t="shared" ref="E12:E21" ca="1" si="0">IFERROR(MEDIDAS_DOBRA,"Inválido")</f>
        <v>-</v>
      </c>
      <c r="F12" s="74" t="str">
        <f ca="1">METADE_DOBRA</f>
        <v>-</v>
      </c>
      <c r="K12" s="78" t="s">
        <v>14</v>
      </c>
      <c r="L12" s="176"/>
      <c r="M12" s="177"/>
      <c r="N12" s="79" t="str">
        <f t="shared" ref="N12:N21" ca="1" si="1">IFERROR(MEDIDAS_DOBRA,"Inválido")</f>
        <v>-</v>
      </c>
      <c r="O12" s="74" t="str">
        <f ca="1">METADE_DOBRA</f>
        <v>-</v>
      </c>
      <c r="T12" s="13" t="s">
        <v>14</v>
      </c>
      <c r="U12" s="36"/>
      <c r="V12" s="41"/>
      <c r="W12" s="37" t="str">
        <f>IFERROR(Medida_ang,"Inválido")</f>
        <v>-</v>
      </c>
      <c r="X12" s="3"/>
      <c r="AD12" s="101">
        <v>1</v>
      </c>
      <c r="AE12" s="102">
        <v>0.41</v>
      </c>
    </row>
    <row r="13" spans="2:33" ht="20" customHeight="1" x14ac:dyDescent="0.35">
      <c r="B13" s="14" t="s">
        <v>15</v>
      </c>
      <c r="C13" s="178"/>
      <c r="D13" s="179"/>
      <c r="E13" s="37" t="str">
        <f t="shared" ca="1" si="0"/>
        <v>-</v>
      </c>
      <c r="F13" s="38" t="str">
        <f ca="1">METADE_DOBRA</f>
        <v>-</v>
      </c>
      <c r="K13" s="14" t="s">
        <v>15</v>
      </c>
      <c r="L13" s="178"/>
      <c r="M13" s="179"/>
      <c r="N13" s="79" t="str">
        <f t="shared" ca="1" si="1"/>
        <v>-</v>
      </c>
      <c r="O13" s="38" t="str">
        <f ca="1">METADE_DOBRA</f>
        <v>-</v>
      </c>
      <c r="T13" s="14" t="s">
        <v>15</v>
      </c>
      <c r="U13" s="36"/>
      <c r="V13" s="41"/>
      <c r="W13" s="37" t="str">
        <f>IFERROR(Medida_ang,"Inválido")</f>
        <v>-</v>
      </c>
      <c r="X13" s="3"/>
      <c r="AD13" s="101">
        <v>1.5</v>
      </c>
      <c r="AE13" s="102">
        <v>0.44</v>
      </c>
    </row>
    <row r="14" spans="2:33" ht="20" customHeight="1" x14ac:dyDescent="0.35">
      <c r="B14" s="14" t="s">
        <v>16</v>
      </c>
      <c r="C14" s="178"/>
      <c r="D14" s="179"/>
      <c r="E14" s="37" t="str">
        <f t="shared" ca="1" si="0"/>
        <v>-</v>
      </c>
      <c r="F14" s="38" t="str">
        <f ca="1">METADE_DOBRA</f>
        <v>-</v>
      </c>
      <c r="K14" s="14" t="s">
        <v>16</v>
      </c>
      <c r="L14" s="178"/>
      <c r="M14" s="179"/>
      <c r="N14" s="37" t="str">
        <f t="shared" ca="1" si="1"/>
        <v>-</v>
      </c>
      <c r="O14" s="38" t="str">
        <f ca="1">METADE_DOBRA</f>
        <v>-</v>
      </c>
      <c r="T14" s="14" t="s">
        <v>16</v>
      </c>
      <c r="U14" s="36"/>
      <c r="V14" s="41"/>
      <c r="W14" s="37" t="str">
        <f>IFERROR(Medida_ang,"Inválido")</f>
        <v>-</v>
      </c>
      <c r="X14" s="3"/>
      <c r="AA14" s="5"/>
      <c r="AD14" s="101">
        <v>2</v>
      </c>
      <c r="AE14" s="102">
        <v>0.45</v>
      </c>
    </row>
    <row r="15" spans="2:33" ht="20" customHeight="1" x14ac:dyDescent="0.35">
      <c r="B15" s="14" t="s">
        <v>17</v>
      </c>
      <c r="C15" s="178"/>
      <c r="D15" s="179"/>
      <c r="E15" s="37" t="str">
        <f t="shared" ca="1" si="0"/>
        <v>-</v>
      </c>
      <c r="F15" s="38" t="str">
        <f ca="1">METADE_DOBRA</f>
        <v>-</v>
      </c>
      <c r="K15" s="14" t="s">
        <v>17</v>
      </c>
      <c r="L15" s="178"/>
      <c r="M15" s="179"/>
      <c r="N15" s="37" t="str">
        <f t="shared" ca="1" si="1"/>
        <v>-</v>
      </c>
      <c r="O15" s="38" t="str">
        <f ca="1">METADE_DOBRA</f>
        <v>-</v>
      </c>
      <c r="T15" s="14" t="s">
        <v>17</v>
      </c>
      <c r="U15" s="36"/>
      <c r="V15" s="41"/>
      <c r="W15" s="37" t="str">
        <f>IFERROR(Medida_ang,"Inválido")</f>
        <v>-</v>
      </c>
      <c r="X15" s="3"/>
      <c r="AA15" s="5"/>
      <c r="AD15" s="101">
        <v>3</v>
      </c>
      <c r="AE15" s="102">
        <v>0.46</v>
      </c>
    </row>
    <row r="16" spans="2:33" ht="20" customHeight="1" x14ac:dyDescent="0.35">
      <c r="B16" s="14" t="s">
        <v>18</v>
      </c>
      <c r="C16" s="178"/>
      <c r="D16" s="179"/>
      <c r="E16" s="37" t="str">
        <f t="shared" ca="1" si="0"/>
        <v>-</v>
      </c>
      <c r="F16" s="38" t="str">
        <f ca="1">METADE_DOBRA</f>
        <v>-</v>
      </c>
      <c r="K16" s="14" t="s">
        <v>18</v>
      </c>
      <c r="L16" s="178"/>
      <c r="M16" s="179"/>
      <c r="N16" s="37" t="str">
        <f t="shared" ca="1" si="1"/>
        <v>-</v>
      </c>
      <c r="O16" s="38" t="str">
        <f ca="1">METADE_DOBRA</f>
        <v>-</v>
      </c>
      <c r="T16" s="14" t="s">
        <v>18</v>
      </c>
      <c r="U16" s="42"/>
      <c r="V16" s="41"/>
      <c r="W16" s="37" t="str">
        <f>IFERROR(Medida_ang,"Inválido")</f>
        <v>-</v>
      </c>
      <c r="X16" s="3"/>
      <c r="AA16" s="5"/>
      <c r="AD16" s="101">
        <v>4</v>
      </c>
      <c r="AE16" s="102">
        <v>0.47</v>
      </c>
    </row>
    <row r="17" spans="2:44" ht="20" customHeight="1" x14ac:dyDescent="0.35">
      <c r="B17" s="14" t="s">
        <v>19</v>
      </c>
      <c r="C17" s="178"/>
      <c r="D17" s="179"/>
      <c r="E17" s="37" t="str">
        <f t="shared" ca="1" si="0"/>
        <v>-</v>
      </c>
      <c r="F17" s="38" t="str">
        <f ca="1">METADE_DOBRA</f>
        <v>-</v>
      </c>
      <c r="K17" s="14" t="s">
        <v>19</v>
      </c>
      <c r="L17" s="178"/>
      <c r="M17" s="179"/>
      <c r="N17" s="37" t="str">
        <f t="shared" ca="1" si="1"/>
        <v>-</v>
      </c>
      <c r="O17" s="38" t="str">
        <f ca="1">METADE_DOBRA</f>
        <v>-</v>
      </c>
      <c r="T17" s="14" t="s">
        <v>19</v>
      </c>
      <c r="U17" s="36"/>
      <c r="V17" s="41"/>
      <c r="W17" s="37" t="str">
        <f>IFERROR(Medida_ang,"Inválido")</f>
        <v>-</v>
      </c>
      <c r="X17" s="3"/>
      <c r="AA17" s="5"/>
      <c r="AD17" s="101">
        <v>5</v>
      </c>
      <c r="AE17" s="102">
        <v>0.48</v>
      </c>
    </row>
    <row r="18" spans="2:44" ht="20" customHeight="1" x14ac:dyDescent="0.35">
      <c r="B18" s="14" t="s">
        <v>20</v>
      </c>
      <c r="C18" s="178"/>
      <c r="D18" s="179"/>
      <c r="E18" s="37" t="str">
        <f t="shared" ca="1" si="0"/>
        <v>-</v>
      </c>
      <c r="F18" s="38" t="str">
        <f ca="1">METADE_DOBRA</f>
        <v>-</v>
      </c>
      <c r="K18" s="14" t="s">
        <v>20</v>
      </c>
      <c r="L18" s="178"/>
      <c r="M18" s="179"/>
      <c r="N18" s="37" t="str">
        <f t="shared" ca="1" si="1"/>
        <v>-</v>
      </c>
      <c r="O18" s="38" t="str">
        <f ca="1">METADE_DOBRA</f>
        <v>-</v>
      </c>
      <c r="T18" s="14" t="s">
        <v>20</v>
      </c>
      <c r="U18" s="36"/>
      <c r="V18" s="41"/>
      <c r="W18" s="37" t="str">
        <f>IFERROR(Medida_ang,"Inválido")</f>
        <v>-</v>
      </c>
      <c r="X18" s="3"/>
      <c r="AA18" s="5"/>
      <c r="AD18" s="101">
        <v>6</v>
      </c>
      <c r="AE18" s="102">
        <f>AE17+(((AD18-AD17)/($AD$22-AD17))*($AE$22-AE17))</f>
        <v>0.48399999999999999</v>
      </c>
    </row>
    <row r="19" spans="2:44" ht="20" customHeight="1" x14ac:dyDescent="0.35">
      <c r="B19" s="14" t="s">
        <v>21</v>
      </c>
      <c r="C19" s="178"/>
      <c r="D19" s="179"/>
      <c r="E19" s="37" t="str">
        <f t="shared" ca="1" si="0"/>
        <v>-</v>
      </c>
      <c r="F19" s="38" t="str">
        <f ca="1">METADE_DOBRA</f>
        <v>-</v>
      </c>
      <c r="K19" s="14" t="s">
        <v>21</v>
      </c>
      <c r="L19" s="178"/>
      <c r="M19" s="179"/>
      <c r="N19" s="37" t="str">
        <f t="shared" ca="1" si="1"/>
        <v>-</v>
      </c>
      <c r="O19" s="38" t="str">
        <f ca="1">METADE_DOBRA</f>
        <v>-</v>
      </c>
      <c r="T19" s="14" t="s">
        <v>21</v>
      </c>
      <c r="U19" s="36"/>
      <c r="V19" s="41"/>
      <c r="W19" s="37" t="str">
        <f>IFERROR(Medida_ang,"Inválido")</f>
        <v>-</v>
      </c>
      <c r="X19" s="3"/>
      <c r="AA19" s="5"/>
      <c r="AD19" s="101">
        <v>7</v>
      </c>
      <c r="AE19" s="102">
        <f>AE18+(((AD19-AD18)/($AD$22-AD18))*($AE$22-AE18))</f>
        <v>0.48799999999999999</v>
      </c>
    </row>
    <row r="20" spans="2:44" ht="20" customHeight="1" x14ac:dyDescent="0.35">
      <c r="B20" s="14" t="s">
        <v>22</v>
      </c>
      <c r="C20" s="178"/>
      <c r="D20" s="179"/>
      <c r="E20" s="37" t="str">
        <f t="shared" ca="1" si="0"/>
        <v>-</v>
      </c>
      <c r="F20" s="38" t="str">
        <f ca="1">METADE_DOBRA</f>
        <v>-</v>
      </c>
      <c r="K20" s="14" t="s">
        <v>22</v>
      </c>
      <c r="L20" s="178"/>
      <c r="M20" s="179"/>
      <c r="N20" s="37" t="str">
        <f t="shared" ca="1" si="1"/>
        <v>-</v>
      </c>
      <c r="O20" s="38" t="str">
        <f ca="1">METADE_DOBRA</f>
        <v>-</v>
      </c>
      <c r="T20" s="14" t="s">
        <v>22</v>
      </c>
      <c r="U20" s="36"/>
      <c r="V20" s="41"/>
      <c r="W20" s="37" t="str">
        <f>IFERROR(Medida_ang,"Inválido")</f>
        <v>-</v>
      </c>
      <c r="X20" s="3"/>
      <c r="AA20" s="5"/>
      <c r="AD20" s="101">
        <v>8</v>
      </c>
      <c r="AE20" s="102">
        <f>AE19+(((AD20-AD19)/($AD$22-AD19))*($AE$22-AE19))</f>
        <v>0.49199999999999999</v>
      </c>
    </row>
    <row r="21" spans="2:44" ht="20" customHeight="1" thickBot="1" x14ac:dyDescent="0.4">
      <c r="B21" s="50" t="s">
        <v>23</v>
      </c>
      <c r="C21" s="170"/>
      <c r="D21" s="171"/>
      <c r="E21" s="51" t="str">
        <f t="shared" ca="1" si="0"/>
        <v>-</v>
      </c>
      <c r="F21" s="80" t="str">
        <f ca="1">METADE_DOBRA</f>
        <v>-</v>
      </c>
      <c r="K21" s="50" t="s">
        <v>23</v>
      </c>
      <c r="L21" s="170"/>
      <c r="M21" s="171"/>
      <c r="N21" s="51" t="str">
        <f t="shared" ca="1" si="1"/>
        <v>-</v>
      </c>
      <c r="O21" s="80" t="str">
        <f ca="1">METADE_DOBRA</f>
        <v>-</v>
      </c>
      <c r="T21" s="50" t="s">
        <v>23</v>
      </c>
      <c r="U21" s="49"/>
      <c r="V21" s="43"/>
      <c r="W21" s="51" t="str">
        <f>IFERROR(Medida_ang,"Inválido")</f>
        <v>-</v>
      </c>
      <c r="X21" s="3"/>
      <c r="AA21" s="5"/>
      <c r="AD21" s="101">
        <v>9</v>
      </c>
      <c r="AE21" s="102">
        <f>AE20+(((AD21-AD20)/($AD$22-AD20))*($AE$22-AE20))</f>
        <v>0.496</v>
      </c>
    </row>
    <row r="22" spans="2:44" ht="20" customHeight="1" thickBot="1" x14ac:dyDescent="0.4">
      <c r="B22" s="16" t="s">
        <v>8</v>
      </c>
      <c r="C22" s="174">
        <f>SUM(C12:C21)</f>
        <v>0</v>
      </c>
      <c r="D22" s="175"/>
      <c r="E22" s="39">
        <f ca="1">SUM(E12:E21)</f>
        <v>0</v>
      </c>
      <c r="F22" s="40">
        <f ca="1">E22/2</f>
        <v>0</v>
      </c>
      <c r="K22" s="16" t="s">
        <v>8</v>
      </c>
      <c r="L22" s="174">
        <f>SUM(L12:L21)</f>
        <v>0</v>
      </c>
      <c r="M22" s="175"/>
      <c r="N22" s="39">
        <f ca="1">SUM(N12:N21)</f>
        <v>0</v>
      </c>
      <c r="O22" s="40">
        <f ca="1">N22/2</f>
        <v>0</v>
      </c>
      <c r="T22" s="16" t="s">
        <v>8</v>
      </c>
      <c r="U22" s="46"/>
      <c r="V22" s="46"/>
      <c r="W22" s="39">
        <f>SUM(W12:W21)</f>
        <v>0</v>
      </c>
      <c r="X22" s="3"/>
      <c r="AA22" s="5"/>
      <c r="AD22" s="103">
        <v>10</v>
      </c>
      <c r="AE22" s="104">
        <v>0.5</v>
      </c>
    </row>
    <row r="23" spans="2:44" ht="20" customHeight="1" thickBot="1" x14ac:dyDescent="0.3">
      <c r="AB23" s="5"/>
    </row>
    <row r="24" spans="2:44" ht="20" customHeight="1" thickBot="1" x14ac:dyDescent="0.3">
      <c r="B24" s="183" t="s">
        <v>1</v>
      </c>
      <c r="C24" s="184"/>
      <c r="D24" s="184"/>
      <c r="E24" s="184"/>
      <c r="F24" s="185"/>
      <c r="K24" s="186" t="s">
        <v>2</v>
      </c>
      <c r="L24" s="187"/>
      <c r="M24" s="187"/>
      <c r="N24" s="187"/>
      <c r="O24" s="187"/>
      <c r="T24" s="188" t="s">
        <v>50</v>
      </c>
      <c r="U24" s="189"/>
      <c r="V24" s="189"/>
      <c r="W24" s="190"/>
      <c r="AB24" s="191" t="s">
        <v>4</v>
      </c>
      <c r="AC24" s="192"/>
      <c r="AD24" s="192"/>
      <c r="AE24" s="193"/>
      <c r="AF24"/>
      <c r="AJ24" s="194" t="s">
        <v>61</v>
      </c>
      <c r="AK24" s="195"/>
      <c r="AL24" s="195"/>
      <c r="AM24" s="196"/>
      <c r="AO24" s="180" t="s">
        <v>77</v>
      </c>
      <c r="AP24" s="181"/>
      <c r="AQ24" s="181"/>
      <c r="AR24" s="182"/>
    </row>
    <row r="25" spans="2:44" ht="20" customHeight="1" x14ac:dyDescent="0.25">
      <c r="B25" s="24" t="s">
        <v>0</v>
      </c>
      <c r="C25" s="25" t="s">
        <v>35</v>
      </c>
      <c r="D25" s="25" t="s">
        <v>30</v>
      </c>
      <c r="E25" s="25" t="s">
        <v>92</v>
      </c>
      <c r="F25" s="26" t="s">
        <v>3</v>
      </c>
      <c r="G25" s="19" t="s">
        <v>44</v>
      </c>
      <c r="H25" s="19" t="s">
        <v>45</v>
      </c>
      <c r="I25" s="19" t="s">
        <v>46</v>
      </c>
      <c r="K25" s="24" t="s">
        <v>0</v>
      </c>
      <c r="L25" s="25" t="s">
        <v>35</v>
      </c>
      <c r="M25" s="25" t="s">
        <v>30</v>
      </c>
      <c r="N25" s="25" t="s">
        <v>92</v>
      </c>
      <c r="O25" s="26" t="s">
        <v>3</v>
      </c>
      <c r="P25" s="19" t="s">
        <v>44</v>
      </c>
      <c r="Q25" s="19" t="s">
        <v>45</v>
      </c>
      <c r="R25" s="19" t="s">
        <v>46</v>
      </c>
      <c r="S25" s="19"/>
      <c r="T25" s="19" t="s">
        <v>0</v>
      </c>
      <c r="U25" s="45" t="s">
        <v>35</v>
      </c>
      <c r="V25" s="45" t="s">
        <v>30</v>
      </c>
      <c r="W25" s="45" t="s">
        <v>3</v>
      </c>
      <c r="X25" s="19" t="s">
        <v>44</v>
      </c>
      <c r="Y25" s="19" t="s">
        <v>45</v>
      </c>
      <c r="Z25" s="19" t="s">
        <v>46</v>
      </c>
      <c r="AB25" s="24" t="s">
        <v>0</v>
      </c>
      <c r="AC25" s="32" t="s">
        <v>35</v>
      </c>
      <c r="AD25" s="32" t="s">
        <v>30</v>
      </c>
      <c r="AE25" s="33" t="s">
        <v>3</v>
      </c>
      <c r="AF25" s="20" t="s">
        <v>44</v>
      </c>
      <c r="AG25" s="21" t="s">
        <v>45</v>
      </c>
      <c r="AH25" s="21" t="s">
        <v>46</v>
      </c>
      <c r="AJ25" s="47" t="s">
        <v>0</v>
      </c>
      <c r="AK25" s="45" t="s">
        <v>35</v>
      </c>
      <c r="AL25" s="45" t="s">
        <v>30</v>
      </c>
      <c r="AM25" s="48" t="s">
        <v>3</v>
      </c>
      <c r="AO25" s="47" t="s">
        <v>0</v>
      </c>
      <c r="AP25" s="45" t="s">
        <v>35</v>
      </c>
      <c r="AQ25" s="45" t="s">
        <v>30</v>
      </c>
      <c r="AR25" s="48" t="s">
        <v>3</v>
      </c>
    </row>
    <row r="26" spans="2:44" ht="20" customHeight="1" x14ac:dyDescent="0.25">
      <c r="B26" s="27">
        <v>0.5</v>
      </c>
      <c r="C26" s="22">
        <v>6</v>
      </c>
      <c r="D26" s="23">
        <v>1.2</v>
      </c>
      <c r="E26" s="90">
        <v>2</v>
      </c>
      <c r="F26" s="91"/>
      <c r="G26" s="3">
        <f>ROWS($B$26:CARBONO[[#This Row],[ESP]])</f>
        <v>1</v>
      </c>
      <c r="H26" s="3" t="str">
        <f>IF(CARBONO[[#This Row],[ESP]]=$D$3,CARBONO[[#This Row],[AUX1]],"")</f>
        <v/>
      </c>
      <c r="I26" s="3" t="str">
        <f>IFERROR(SMALL(CARBONO[AUX2],CARBONO[[#This Row],[AUX1]]),"")</f>
        <v/>
      </c>
      <c r="K26" s="27">
        <v>0.5</v>
      </c>
      <c r="L26" s="22">
        <v>6</v>
      </c>
      <c r="M26" s="23">
        <v>1.2</v>
      </c>
      <c r="N26" s="90">
        <v>4</v>
      </c>
      <c r="O26" s="84"/>
      <c r="P26" s="3">
        <f>ROWS($K$26:INOX[[#This Row],[ESP]])</f>
        <v>1</v>
      </c>
      <c r="Q26" s="3" t="str">
        <f>IF(INOX[[#This Row],[ESP]]=$D$3,INOX[[#This Row],[AUX1]],"")</f>
        <v/>
      </c>
      <c r="R26" s="3" t="str">
        <f>IFERROR(SMALL(INOX[AUX2],INOX[[#This Row],[AUX1]]),"")</f>
        <v/>
      </c>
      <c r="S26" s="3"/>
      <c r="T26" s="44">
        <v>1</v>
      </c>
      <c r="U26" s="22">
        <v>10</v>
      </c>
      <c r="V26" s="23">
        <v>1.7</v>
      </c>
      <c r="W26" s="22"/>
      <c r="X26" s="3">
        <f>ROWS($T$26:AL_H14[[#This Row],[ESP]])</f>
        <v>1</v>
      </c>
      <c r="Y26" s="3" t="str">
        <f>IF(AL_H14[[#This Row],[ESP]]=$D$3,AL_H14[[#This Row],[AUX1]],"")</f>
        <v/>
      </c>
      <c r="Z26" s="3" t="str">
        <f>IFERROR(SMALL(AL_H14[AUX2],AL_H14[[#This Row],[AUX1]]),"")</f>
        <v/>
      </c>
      <c r="AB26" s="27">
        <v>1.5</v>
      </c>
      <c r="AC26" s="22">
        <v>10</v>
      </c>
      <c r="AD26" s="23">
        <v>2.7</v>
      </c>
      <c r="AE26" s="28" t="s">
        <v>54</v>
      </c>
      <c r="AF26" s="22">
        <f>ROWS($AB$26:AL_5052[[#This Row],[ESP]])</f>
        <v>1</v>
      </c>
      <c r="AG26" s="22" t="str">
        <f>IF(AL_5052[[#This Row],[ESP]]=$D$3,AL_5052[[#This Row],[AUX1]],"")</f>
        <v/>
      </c>
      <c r="AH26" s="22" t="str">
        <f>IFERROR(SMALL(AL_5052[AUX2],AL_5052[[#This Row],[AUX1]]),"")</f>
        <v/>
      </c>
      <c r="AJ26" s="27">
        <v>3.6</v>
      </c>
      <c r="AK26" s="22">
        <v>16</v>
      </c>
      <c r="AL26" s="23">
        <v>6</v>
      </c>
      <c r="AM26" s="28"/>
      <c r="AO26" s="27">
        <v>5.7</v>
      </c>
      <c r="AP26" s="22">
        <v>25</v>
      </c>
      <c r="AQ26" s="23">
        <v>9.4</v>
      </c>
      <c r="AR26" s="28"/>
    </row>
    <row r="27" spans="2:44" ht="20" customHeight="1" thickBot="1" x14ac:dyDescent="0.3">
      <c r="B27" s="27">
        <v>0.5</v>
      </c>
      <c r="C27" s="22">
        <v>10</v>
      </c>
      <c r="D27" s="23">
        <v>1</v>
      </c>
      <c r="E27" s="90" t="s">
        <v>104</v>
      </c>
      <c r="F27" s="91"/>
      <c r="G27" s="3">
        <f>ROWS($B$26:CARBONO[[#This Row],[ESP]])</f>
        <v>2</v>
      </c>
      <c r="H27" s="3" t="str">
        <f>IF(CARBONO[[#This Row],[ESP]]=$D$3,CARBONO[[#This Row],[AUX1]],"")</f>
        <v/>
      </c>
      <c r="I27" s="3" t="str">
        <f>IFERROR(SMALL(CARBONO[AUX2],CARBONO[[#This Row],[AUX1]]),"")</f>
        <v/>
      </c>
      <c r="K27" s="27">
        <v>0.8</v>
      </c>
      <c r="L27" s="22">
        <v>6</v>
      </c>
      <c r="M27" s="23">
        <v>1.7</v>
      </c>
      <c r="N27" s="90">
        <v>12</v>
      </c>
      <c r="O27" s="84"/>
      <c r="P27" s="3">
        <f>ROWS($K$26:INOX[[#This Row],[ESP]])</f>
        <v>2</v>
      </c>
      <c r="Q27" s="3" t="str">
        <f>IF(INOX[[#This Row],[ESP]]=$D$3,INOX[[#This Row],[AUX1]],"")</f>
        <v/>
      </c>
      <c r="R27" s="3" t="str">
        <f>IFERROR(SMALL(INOX[AUX2],INOX[[#This Row],[AUX1]]),"")</f>
        <v/>
      </c>
      <c r="S27" s="3"/>
      <c r="T27" s="44">
        <v>1.5</v>
      </c>
      <c r="U27" s="22">
        <v>10</v>
      </c>
      <c r="V27" s="23">
        <v>3.2249999999999943</v>
      </c>
      <c r="W27" s="22" t="s">
        <v>63</v>
      </c>
      <c r="X27" s="3">
        <f>ROWS($T$26:AL_H14[[#This Row],[ESP]])</f>
        <v>2</v>
      </c>
      <c r="Y27" s="3" t="str">
        <f>IF(AL_H14[[#This Row],[ESP]]=$D$3,AL_H14[[#This Row],[AUX1]],"")</f>
        <v/>
      </c>
      <c r="Z27" s="3" t="str">
        <f>IFERROR(SMALL(AL_H14[AUX2],AL_H14[[#This Row],[AUX1]]),"")</f>
        <v/>
      </c>
      <c r="AB27" s="27">
        <v>1.5</v>
      </c>
      <c r="AC27" s="22">
        <v>16</v>
      </c>
      <c r="AD27" s="23">
        <v>3</v>
      </c>
      <c r="AE27" s="28" t="s">
        <v>54</v>
      </c>
      <c r="AF27" s="22">
        <f>ROWS($AB$26:AL_5052[[#This Row],[ESP]])</f>
        <v>2</v>
      </c>
      <c r="AG27" s="22" t="str">
        <f>IF(AL_5052[[#This Row],[ESP]]=$D$3,AL_5052[[#This Row],[AUX1]],"")</f>
        <v/>
      </c>
      <c r="AH27" s="22" t="str">
        <f>IFERROR(SMALL(AL_5052[AUX2],AL_5052[[#This Row],[AUX1]]),"")</f>
        <v/>
      </c>
      <c r="AJ27" s="29">
        <v>3.6</v>
      </c>
      <c r="AK27" s="30">
        <v>25</v>
      </c>
      <c r="AL27" s="34">
        <v>5.8</v>
      </c>
      <c r="AM27" s="31" t="s">
        <v>62</v>
      </c>
      <c r="AO27" s="29">
        <v>5.7</v>
      </c>
      <c r="AP27" s="30">
        <v>35</v>
      </c>
      <c r="AQ27" s="34">
        <v>9.9</v>
      </c>
      <c r="AR27" s="31"/>
    </row>
    <row r="28" spans="2:44" ht="20" customHeight="1" x14ac:dyDescent="0.25">
      <c r="B28" s="27">
        <v>0.8</v>
      </c>
      <c r="C28" s="22">
        <v>6</v>
      </c>
      <c r="D28" s="23">
        <v>1.6</v>
      </c>
      <c r="E28" s="90">
        <v>7</v>
      </c>
      <c r="F28" s="84"/>
      <c r="G28" s="3">
        <f>ROWS($B$26:CARBONO[[#This Row],[ESP]])</f>
        <v>3</v>
      </c>
      <c r="H28" s="3" t="str">
        <f>IF(CARBONO[[#This Row],[ESP]]=$D$3,CARBONO[[#This Row],[AUX1]],"")</f>
        <v/>
      </c>
      <c r="I28" s="3" t="str">
        <f>IFERROR(SMALL(CARBONO[AUX2],CARBONO[[#This Row],[AUX1]]),"")</f>
        <v/>
      </c>
      <c r="K28" s="27">
        <v>1</v>
      </c>
      <c r="L28" s="22">
        <v>6</v>
      </c>
      <c r="M28" s="23">
        <v>1.9</v>
      </c>
      <c r="N28" s="90">
        <v>19</v>
      </c>
      <c r="O28" s="84"/>
      <c r="P28" s="3">
        <f>ROWS($K$26:INOX[[#This Row],[ESP]])</f>
        <v>3</v>
      </c>
      <c r="Q28" s="3" t="str">
        <f>IF(INOX[[#This Row],[ESP]]=$D$3,INOX[[#This Row],[AUX1]],"")</f>
        <v/>
      </c>
      <c r="R28" s="3" t="str">
        <f>IFERROR(SMALL(INOX[AUX2],INOX[[#This Row],[AUX1]]),"")</f>
        <v/>
      </c>
      <c r="S28" s="3"/>
      <c r="T28" s="44">
        <v>2</v>
      </c>
      <c r="U28" s="22">
        <v>16</v>
      </c>
      <c r="V28" s="23">
        <v>3.3</v>
      </c>
      <c r="W28" s="22" t="s">
        <v>54</v>
      </c>
      <c r="X28" s="3">
        <f>ROWS($T$26:AL_H14[[#This Row],[ESP]])</f>
        <v>3</v>
      </c>
      <c r="Y28" s="3" t="str">
        <f>IF(AL_H14[[#This Row],[ESP]]=$D$3,AL_H14[[#This Row],[AUX1]],"")</f>
        <v/>
      </c>
      <c r="Z28" s="3" t="str">
        <f>IFERROR(SMALL(AL_H14[AUX2],AL_H14[[#This Row],[AUX1]]),"")</f>
        <v/>
      </c>
      <c r="AB28" s="27">
        <v>2</v>
      </c>
      <c r="AC28" s="22" t="s">
        <v>34</v>
      </c>
      <c r="AD28" s="23">
        <v>3.3</v>
      </c>
      <c r="AE28" s="28" t="s">
        <v>54</v>
      </c>
      <c r="AF28" s="22">
        <f>ROWS($AB$26:AL_5052[[#This Row],[ESP]])</f>
        <v>3</v>
      </c>
      <c r="AG28" s="22" t="str">
        <f>IF(AL_5052[[#This Row],[ESP]]=$D$3,AL_5052[[#This Row],[AUX1]],"")</f>
        <v/>
      </c>
      <c r="AH28" s="22" t="str">
        <f>IFERROR(SMALL(AL_5052[AUX2],AL_5052[[#This Row],[AUX1]]),"")</f>
        <v/>
      </c>
    </row>
    <row r="29" spans="2:44" ht="20" customHeight="1" x14ac:dyDescent="0.25">
      <c r="B29" s="27">
        <v>0.8</v>
      </c>
      <c r="C29" s="22">
        <v>10</v>
      </c>
      <c r="D29" s="23">
        <v>1.6</v>
      </c>
      <c r="E29" s="90">
        <v>4</v>
      </c>
      <c r="F29" s="84" t="s">
        <v>32</v>
      </c>
      <c r="G29" s="3">
        <f>ROWS($B$26:CARBONO[[#This Row],[ESP]])</f>
        <v>4</v>
      </c>
      <c r="H29" s="3" t="str">
        <f>IF(CARBONO[[#This Row],[ESP]]=$D$3,CARBONO[[#This Row],[AUX1]],"")</f>
        <v/>
      </c>
      <c r="I29" s="3" t="str">
        <f>IFERROR(SMALL(CARBONO[AUX2],CARBONO[[#This Row],[AUX1]]),"")</f>
        <v/>
      </c>
      <c r="K29" s="27">
        <v>1</v>
      </c>
      <c r="L29" s="22">
        <v>10</v>
      </c>
      <c r="M29" s="23">
        <v>2</v>
      </c>
      <c r="N29" s="90">
        <v>10</v>
      </c>
      <c r="O29" s="84" t="s">
        <v>54</v>
      </c>
      <c r="P29" s="3">
        <f>ROWS($K$26:INOX[[#This Row],[ESP]])</f>
        <v>4</v>
      </c>
      <c r="Q29" s="3" t="str">
        <f>IF(INOX[[#This Row],[ESP]]=$D$3,INOX[[#This Row],[AUX1]],"")</f>
        <v/>
      </c>
      <c r="R29" s="3" t="str">
        <f>IFERROR(SMALL(INOX[AUX2],INOX[[#This Row],[AUX1]]),"")</f>
        <v/>
      </c>
      <c r="S29" s="3"/>
      <c r="T29" s="44">
        <v>2.5</v>
      </c>
      <c r="U29" s="22">
        <v>16</v>
      </c>
      <c r="V29" s="23">
        <v>3.95</v>
      </c>
      <c r="W29" s="22" t="s">
        <v>113</v>
      </c>
      <c r="X29" s="3">
        <f>ROWS($T$26:AL_H14[[#This Row],[ESP]])</f>
        <v>4</v>
      </c>
      <c r="Y29" s="3" t="str">
        <f>IF(AL_H14[[#This Row],[ESP]]=$D$3,AL_H14[[#This Row],[AUX1]],"")</f>
        <v/>
      </c>
      <c r="Z29" s="3" t="str">
        <f>IFERROR(SMALL(AL_H14[AUX2],AL_H14[[#This Row],[AUX1]]),"")</f>
        <v/>
      </c>
      <c r="AB29" s="27">
        <v>3</v>
      </c>
      <c r="AC29" s="22">
        <v>16</v>
      </c>
      <c r="AD29" s="23">
        <v>5</v>
      </c>
      <c r="AE29" s="28" t="s">
        <v>54</v>
      </c>
      <c r="AF29" s="22">
        <f>ROWS($AB$26:AL_5052[[#This Row],[ESP]])</f>
        <v>4</v>
      </c>
      <c r="AG29" s="22" t="str">
        <f>IF(AL_5052[[#This Row],[ESP]]=$D$3,AL_5052[[#This Row],[AUX1]],"")</f>
        <v/>
      </c>
      <c r="AH29" s="22" t="str">
        <f>IFERROR(SMALL(AL_5052[AUX2],AL_5052[[#This Row],[AUX1]]),"")</f>
        <v/>
      </c>
      <c r="AJ29"/>
      <c r="AK29"/>
      <c r="AL29"/>
      <c r="AM29"/>
    </row>
    <row r="30" spans="2:44" ht="20" customHeight="1" x14ac:dyDescent="0.25">
      <c r="B30" s="27">
        <v>1</v>
      </c>
      <c r="C30" s="22">
        <v>5</v>
      </c>
      <c r="D30" s="23">
        <v>1.8</v>
      </c>
      <c r="E30" s="90">
        <v>15</v>
      </c>
      <c r="F30" s="84" t="s">
        <v>96</v>
      </c>
      <c r="G30" s="3">
        <f>ROWS($B$26:CARBONO[[#This Row],[ESP]])</f>
        <v>5</v>
      </c>
      <c r="H30" s="3" t="str">
        <f>IF(CARBONO[[#This Row],[ESP]]=$D$3,CARBONO[[#This Row],[AUX1]],"")</f>
        <v/>
      </c>
      <c r="I30" s="3" t="str">
        <f>IFERROR(SMALL(CARBONO[AUX2],CARBONO[[#This Row],[AUX1]]),"")</f>
        <v/>
      </c>
      <c r="K30" s="27">
        <v>1</v>
      </c>
      <c r="L30" s="22" t="s">
        <v>106</v>
      </c>
      <c r="M30" s="23"/>
      <c r="N30" s="90" t="s">
        <v>104</v>
      </c>
      <c r="O30" s="84" t="s">
        <v>107</v>
      </c>
      <c r="P30" s="3">
        <f>ROWS($K$26:INOX[[#This Row],[ESP]])</f>
        <v>5</v>
      </c>
      <c r="Q30" s="3" t="str">
        <f>IF(INOX[[#This Row],[ESP]]=$D$3,INOX[[#This Row],[AUX1]],"")</f>
        <v/>
      </c>
      <c r="R30" s="3" t="str">
        <f>IFERROR(SMALL(INOX[AUX2],INOX[[#This Row],[AUX1]]),"")</f>
        <v/>
      </c>
      <c r="S30" s="3"/>
      <c r="T30" s="44">
        <v>2.5</v>
      </c>
      <c r="U30" s="22">
        <v>25</v>
      </c>
      <c r="V30" s="23">
        <v>4.05</v>
      </c>
      <c r="W30" s="22"/>
      <c r="X30" s="3">
        <f>ROWS($T$26:AL_H14[[#This Row],[ESP]])</f>
        <v>5</v>
      </c>
      <c r="Y30" s="3" t="str">
        <f>IF(AL_H14[[#This Row],[ESP]]=$D$3,AL_H14[[#This Row],[AUX1]],"")</f>
        <v/>
      </c>
      <c r="Z30" s="3" t="str">
        <f>IFERROR(SMALL(AL_H14[AUX2],AL_H14[[#This Row],[AUX1]]),"")</f>
        <v/>
      </c>
      <c r="AB30" s="27">
        <v>3</v>
      </c>
      <c r="AC30" s="22">
        <v>25</v>
      </c>
      <c r="AD30" s="23">
        <v>5.2</v>
      </c>
      <c r="AE30" s="28" t="s">
        <v>54</v>
      </c>
      <c r="AF30" s="22">
        <f>ROWS($AB$26:AL_5052[[#This Row],[ESP]])</f>
        <v>5</v>
      </c>
      <c r="AG30" s="22" t="str">
        <f>IF(AL_5052[[#This Row],[ESP]]=$D$3,AL_5052[[#This Row],[AUX1]],"")</f>
        <v/>
      </c>
      <c r="AH30" s="22" t="str">
        <f>IFERROR(SMALL(AL_5052[AUX2],AL_5052[[#This Row],[AUX1]]),"")</f>
        <v/>
      </c>
    </row>
    <row r="31" spans="2:44" ht="20" customHeight="1" x14ac:dyDescent="0.25">
      <c r="B31" s="27">
        <v>1</v>
      </c>
      <c r="C31" s="22">
        <v>6</v>
      </c>
      <c r="D31" s="23">
        <v>1.7</v>
      </c>
      <c r="E31" s="90">
        <v>11</v>
      </c>
      <c r="F31" s="84"/>
      <c r="G31" s="3">
        <f>ROWS($B$26:CARBONO[[#This Row],[ESP]])</f>
        <v>6</v>
      </c>
      <c r="H31" s="3" t="str">
        <f>IF(CARBONO[[#This Row],[ESP]]=$D$3,CARBONO[[#This Row],[AUX1]],"")</f>
        <v/>
      </c>
      <c r="I31" s="3" t="str">
        <f>IFERROR(SMALL(CARBONO[AUX2],CARBONO[[#This Row],[AUX1]]),"")</f>
        <v/>
      </c>
      <c r="K31" s="27">
        <v>1.2</v>
      </c>
      <c r="L31" s="22">
        <v>6</v>
      </c>
      <c r="M31" s="23">
        <v>2.2000000000000002</v>
      </c>
      <c r="N31" s="90">
        <v>30</v>
      </c>
      <c r="O31" s="84"/>
      <c r="P31" s="3">
        <f>ROWS($K$26:INOX[[#This Row],[ESP]])</f>
        <v>6</v>
      </c>
      <c r="Q31" s="3" t="str">
        <f>IF(INOX[[#This Row],[ESP]]=$D$3,INOX[[#This Row],[AUX1]],"")</f>
        <v/>
      </c>
      <c r="R31" s="3" t="str">
        <f>IFERROR(SMALL(INOX[AUX2],INOX[[#This Row],[AUX1]]),"")</f>
        <v/>
      </c>
      <c r="S31" s="3"/>
      <c r="T31" s="44">
        <v>3</v>
      </c>
      <c r="U31" s="22">
        <v>16</v>
      </c>
      <c r="V31" s="23">
        <v>4.7</v>
      </c>
      <c r="W31" s="22" t="s">
        <v>113</v>
      </c>
      <c r="X31" s="3">
        <f>ROWS($T$26:AL_H14[[#This Row],[ESP]])</f>
        <v>6</v>
      </c>
      <c r="Y31" s="3" t="str">
        <f>IF(AL_H14[[#This Row],[ESP]]=$D$3,AL_H14[[#This Row],[AUX1]],"")</f>
        <v/>
      </c>
      <c r="Z31" s="3" t="str">
        <f>IFERROR(SMALL(AL_H14[AUX2],AL_H14[[#This Row],[AUX1]]),"")</f>
        <v/>
      </c>
      <c r="AB31" s="27">
        <v>5</v>
      </c>
      <c r="AC31" s="22">
        <v>25</v>
      </c>
      <c r="AD31" s="23">
        <v>8.1500000000000057</v>
      </c>
      <c r="AE31" s="28"/>
      <c r="AF31" s="22">
        <f>ROWS($AB$26:AL_5052[[#This Row],[ESP]])</f>
        <v>6</v>
      </c>
      <c r="AG31" s="22" t="str">
        <f>IF(AL_5052[[#This Row],[ESP]]=$D$3,AL_5052[[#This Row],[AUX1]],"")</f>
        <v/>
      </c>
      <c r="AH31" s="22" t="str">
        <f>IFERROR(SMALL(AL_5052[AUX2],AL_5052[[#This Row],[AUX1]]),"")</f>
        <v/>
      </c>
    </row>
    <row r="32" spans="2:44" ht="20" customHeight="1" x14ac:dyDescent="0.25">
      <c r="B32" s="27">
        <v>1</v>
      </c>
      <c r="C32" s="22">
        <v>10</v>
      </c>
      <c r="D32" s="23">
        <v>2</v>
      </c>
      <c r="E32" s="90">
        <v>6</v>
      </c>
      <c r="F32" s="84" t="s">
        <v>32</v>
      </c>
      <c r="G32" s="3">
        <f>ROWS($B$26:CARBONO[[#This Row],[ESP]])</f>
        <v>7</v>
      </c>
      <c r="H32" s="3" t="str">
        <f>IF(CARBONO[[#This Row],[ESP]]=$D$3,CARBONO[[#This Row],[AUX1]],"")</f>
        <v/>
      </c>
      <c r="I32" s="3" t="str">
        <f>IFERROR(SMALL(CARBONO[AUX2],CARBONO[[#This Row],[AUX1]]),"")</f>
        <v/>
      </c>
      <c r="K32" s="27">
        <v>1.2</v>
      </c>
      <c r="L32" s="22">
        <v>10</v>
      </c>
      <c r="M32" s="23">
        <v>2.4</v>
      </c>
      <c r="N32" s="90">
        <v>15</v>
      </c>
      <c r="O32" s="84" t="s">
        <v>54</v>
      </c>
      <c r="P32" s="3">
        <f>ROWS($K$26:INOX[[#This Row],[ESP]])</f>
        <v>7</v>
      </c>
      <c r="Q32" s="3" t="str">
        <f>IF(INOX[[#This Row],[ESP]]=$D$3,INOX[[#This Row],[AUX1]],"")</f>
        <v/>
      </c>
      <c r="R32" s="3" t="str">
        <f>IFERROR(SMALL(INOX[AUX2],INOX[[#This Row],[AUX1]]),"")</f>
        <v/>
      </c>
      <c r="S32" s="3"/>
      <c r="T32" s="44">
        <v>4</v>
      </c>
      <c r="U32" s="22">
        <v>16</v>
      </c>
      <c r="V32" s="23">
        <v>6.5066666666666606</v>
      </c>
      <c r="W32" s="22" t="s">
        <v>113</v>
      </c>
      <c r="X32" s="3">
        <f>ROWS($T$26:AL_H14[[#This Row],[ESP]])</f>
        <v>7</v>
      </c>
      <c r="Y32" s="3" t="str">
        <f>IF(AL_H14[[#This Row],[ESP]]=$D$3,AL_H14[[#This Row],[AUX1]],"")</f>
        <v/>
      </c>
      <c r="Z32" s="3" t="str">
        <f>IFERROR(SMALL(AL_H14[AUX2],AL_H14[[#This Row],[AUX1]]),"")</f>
        <v/>
      </c>
      <c r="AB32" s="27">
        <v>5</v>
      </c>
      <c r="AC32" s="22">
        <v>35</v>
      </c>
      <c r="AD32" s="23">
        <v>8.1000000000000014</v>
      </c>
      <c r="AE32" s="28"/>
      <c r="AF32" s="22">
        <f>ROWS($AB$26:AL_5052[[#This Row],[ESP]])</f>
        <v>7</v>
      </c>
      <c r="AG32" s="22" t="str">
        <f>IF(AL_5052[[#This Row],[ESP]]=$D$3,AL_5052[[#This Row],[AUX1]],"")</f>
        <v/>
      </c>
      <c r="AH32" s="22" t="str">
        <f>IFERROR(SMALL(AL_5052[AUX2],AL_5052[[#This Row],[AUX1]]),"")</f>
        <v/>
      </c>
    </row>
    <row r="33" spans="2:34" ht="20" customHeight="1" x14ac:dyDescent="0.25">
      <c r="B33" s="27">
        <v>1</v>
      </c>
      <c r="C33" s="22" t="s">
        <v>106</v>
      </c>
      <c r="D33" s="23" t="s">
        <v>110</v>
      </c>
      <c r="E33" s="90" t="s">
        <v>104</v>
      </c>
      <c r="F33" s="84" t="s">
        <v>107</v>
      </c>
      <c r="G33" s="3">
        <f>ROWS($B$26:CARBONO[[#This Row],[ESP]])</f>
        <v>8</v>
      </c>
      <c r="H33" s="3" t="str">
        <f>IF(CARBONO[[#This Row],[ESP]]=$D$3,CARBONO[[#This Row],[AUX1]],"")</f>
        <v/>
      </c>
      <c r="I33" s="3" t="str">
        <f>IFERROR(SMALL(CARBONO[AUX2],CARBONO[[#This Row],[AUX1]]),"")</f>
        <v/>
      </c>
      <c r="K33" s="27">
        <v>1.5</v>
      </c>
      <c r="L33" s="22">
        <v>10</v>
      </c>
      <c r="M33" s="23">
        <v>3</v>
      </c>
      <c r="N33" s="90">
        <v>26</v>
      </c>
      <c r="O33" s="84" t="s">
        <v>54</v>
      </c>
      <c r="P33" s="3">
        <f>ROWS($K$26:INOX[[#This Row],[ESP]])</f>
        <v>8</v>
      </c>
      <c r="Q33" s="3" t="str">
        <f>IF(INOX[[#This Row],[ESP]]=$D$3,INOX[[#This Row],[AUX1]],"")</f>
        <v/>
      </c>
      <c r="R33" s="3" t="str">
        <f>IFERROR(SMALL(INOX[AUX2],INOX[[#This Row],[AUX1]]),"")</f>
        <v/>
      </c>
      <c r="S33" s="3"/>
      <c r="T33" s="44">
        <v>4</v>
      </c>
      <c r="U33" s="22">
        <v>25</v>
      </c>
      <c r="V33" s="23">
        <v>6.7</v>
      </c>
      <c r="W33" s="22"/>
      <c r="X33" s="3">
        <f>ROWS($T$26:AL_H14[[#This Row],[ESP]])</f>
        <v>8</v>
      </c>
      <c r="Y33" s="3" t="str">
        <f>IF(AL_H14[[#This Row],[ESP]]=$D$3,AL_H14[[#This Row],[AUX1]],"")</f>
        <v/>
      </c>
      <c r="Z33" s="3" t="str">
        <f>IFERROR(SMALL(AL_H14[AUX2],AL_H14[[#This Row],[AUX1]]),"")</f>
        <v/>
      </c>
      <c r="AB33" s="27">
        <v>6</v>
      </c>
      <c r="AC33" s="22">
        <v>35</v>
      </c>
      <c r="AD33" s="23">
        <v>10</v>
      </c>
      <c r="AE33" s="28" t="s">
        <v>54</v>
      </c>
      <c r="AF33" s="22">
        <f>ROWS($AB$26:AL_5052[[#This Row],[ESP]])</f>
        <v>8</v>
      </c>
      <c r="AG33" s="22" t="str">
        <f>IF(AL_5052[[#This Row],[ESP]]=$D$3,AL_5052[[#This Row],[AUX1]],"")</f>
        <v/>
      </c>
      <c r="AH33" s="22" t="str">
        <f>IFERROR(SMALL(AL_5052[AUX2],AL_5052[[#This Row],[AUX1]]),"")</f>
        <v/>
      </c>
    </row>
    <row r="34" spans="2:34" ht="20" customHeight="1" thickBot="1" x14ac:dyDescent="0.3">
      <c r="B34" s="27">
        <v>1.2</v>
      </c>
      <c r="C34" s="22">
        <v>5</v>
      </c>
      <c r="D34" s="23">
        <v>2</v>
      </c>
      <c r="E34" s="90" t="s">
        <v>104</v>
      </c>
      <c r="F34" s="84" t="s">
        <v>96</v>
      </c>
      <c r="G34" s="3">
        <f>ROWS($B$26:CARBONO[[#This Row],[ESP]])</f>
        <v>9</v>
      </c>
      <c r="H34" s="3" t="str">
        <f>IF(CARBONO[[#This Row],[ESP]]=$D$3,CARBONO[[#This Row],[AUX1]],"")</f>
        <v/>
      </c>
      <c r="I34" s="3" t="str">
        <f>IFERROR(SMALL(CARBONO[AUX2],CARBONO[[#This Row],[AUX1]]),"")</f>
        <v/>
      </c>
      <c r="K34" s="27">
        <v>2</v>
      </c>
      <c r="L34" s="22">
        <v>10</v>
      </c>
      <c r="M34" s="23">
        <v>3.3</v>
      </c>
      <c r="N34" s="90">
        <v>50</v>
      </c>
      <c r="O34" s="84" t="s">
        <v>54</v>
      </c>
      <c r="P34" s="3">
        <f>ROWS($K$26:INOX[[#This Row],[ESP]])</f>
        <v>9</v>
      </c>
      <c r="Q34" s="3" t="str">
        <f>IF(INOX[[#This Row],[ESP]]=$D$3,INOX[[#This Row],[AUX1]],"")</f>
        <v/>
      </c>
      <c r="R34" s="3" t="str">
        <f>IFERROR(SMALL(INOX[AUX2],INOX[[#This Row],[AUX1]]),"")</f>
        <v/>
      </c>
      <c r="S34" s="3"/>
      <c r="T34" s="44">
        <v>4</v>
      </c>
      <c r="U34" s="22">
        <v>35</v>
      </c>
      <c r="V34" s="23">
        <v>6.6</v>
      </c>
      <c r="W34" s="22"/>
      <c r="X34" s="3">
        <f>ROWS($T$26:AL_H14[[#This Row],[ESP]])</f>
        <v>9</v>
      </c>
      <c r="Y34" s="3" t="str">
        <f>IF(AL_H14[[#This Row],[ESP]]=$D$3,AL_H14[[#This Row],[AUX1]],"")</f>
        <v/>
      </c>
      <c r="Z34" s="3" t="str">
        <f>IFERROR(SMALL(AL_H14[AUX2],AL_H14[[#This Row],[AUX1]]),"")</f>
        <v/>
      </c>
      <c r="AB34" s="29">
        <v>6</v>
      </c>
      <c r="AC34" s="30">
        <v>50</v>
      </c>
      <c r="AD34" s="34">
        <v>11</v>
      </c>
      <c r="AE34" s="31"/>
      <c r="AF34" s="22">
        <f>ROWS($AB$26:AL_5052[[#This Row],[ESP]])</f>
        <v>9</v>
      </c>
      <c r="AG34" s="22" t="str">
        <f>IF(AL_5052[[#This Row],[ESP]]=$D$3,AL_5052[[#This Row],[AUX1]],"")</f>
        <v/>
      </c>
      <c r="AH34" s="22" t="str">
        <f>IFERROR(SMALL(AL_5052[AUX2],AL_5052[[#This Row],[AUX1]]),"")</f>
        <v/>
      </c>
    </row>
    <row r="35" spans="2:34" ht="20" customHeight="1" x14ac:dyDescent="0.25">
      <c r="B35" s="27">
        <v>1.2</v>
      </c>
      <c r="C35" s="22">
        <v>6</v>
      </c>
      <c r="D35" s="23">
        <v>2</v>
      </c>
      <c r="E35" s="90">
        <v>18</v>
      </c>
      <c r="F35" s="84"/>
      <c r="G35" s="3">
        <f>ROWS($B$26:CARBONO[[#This Row],[ESP]])</f>
        <v>10</v>
      </c>
      <c r="H35" s="3" t="str">
        <f>IF(CARBONO[[#This Row],[ESP]]=$D$3,CARBONO[[#This Row],[AUX1]],"")</f>
        <v/>
      </c>
      <c r="I35" s="3" t="str">
        <f>IFERROR(SMALL(CARBONO[AUX2],CARBONO[[#This Row],[AUX1]]),"")</f>
        <v/>
      </c>
      <c r="K35" s="27">
        <v>2</v>
      </c>
      <c r="L35" s="22">
        <v>16</v>
      </c>
      <c r="M35" s="23">
        <v>4</v>
      </c>
      <c r="N35" s="90">
        <v>26</v>
      </c>
      <c r="O35" s="84" t="s">
        <v>54</v>
      </c>
      <c r="P35" s="3">
        <f>ROWS($K$26:INOX[[#This Row],[ESP]])</f>
        <v>10</v>
      </c>
      <c r="Q35" s="3" t="str">
        <f>IF(INOX[[#This Row],[ESP]]=$D$3,INOX[[#This Row],[AUX1]],"")</f>
        <v/>
      </c>
      <c r="R35" s="3" t="str">
        <f>IFERROR(SMALL(INOX[AUX2],INOX[[#This Row],[AUX1]]),"")</f>
        <v/>
      </c>
      <c r="S35" s="3"/>
      <c r="T35" s="44">
        <v>6</v>
      </c>
      <c r="U35" s="22">
        <v>35</v>
      </c>
      <c r="V35" s="23">
        <v>10.6</v>
      </c>
      <c r="W35" s="22"/>
      <c r="X35" s="3">
        <f>ROWS($T$26:AL_H14[[#This Row],[ESP]])</f>
        <v>10</v>
      </c>
      <c r="Y35" s="3" t="str">
        <f>IF(AL_H14[[#This Row],[ESP]]=$D$3,AL_H14[[#This Row],[AUX1]],"")</f>
        <v/>
      </c>
      <c r="Z35" s="3" t="str">
        <f>IFERROR(SMALL(AL_H14[AUX2],AL_H14[[#This Row],[AUX1]]),"")</f>
        <v/>
      </c>
    </row>
    <row r="36" spans="2:34" ht="20" customHeight="1" x14ac:dyDescent="0.25">
      <c r="B36" s="27">
        <v>1.2</v>
      </c>
      <c r="C36" s="22">
        <v>10</v>
      </c>
      <c r="D36" s="23">
        <v>2.4</v>
      </c>
      <c r="E36" s="90">
        <v>9</v>
      </c>
      <c r="F36" s="84" t="s">
        <v>32</v>
      </c>
      <c r="G36" s="3">
        <f>ROWS($B$26:CARBONO[[#This Row],[ESP]])</f>
        <v>11</v>
      </c>
      <c r="H36" s="3" t="str">
        <f>IF(CARBONO[[#This Row],[ESP]]=$D$3,CARBONO[[#This Row],[AUX1]],"")</f>
        <v/>
      </c>
      <c r="I36" s="3" t="str">
        <f>IFERROR(SMALL(CARBONO[AUX2],CARBONO[[#This Row],[AUX1]]),"")</f>
        <v/>
      </c>
      <c r="K36" s="27">
        <v>2</v>
      </c>
      <c r="L36" s="22">
        <v>50</v>
      </c>
      <c r="M36" s="23">
        <v>7</v>
      </c>
      <c r="N36" s="90" t="s">
        <v>104</v>
      </c>
      <c r="O36" s="84" t="s">
        <v>65</v>
      </c>
      <c r="P36" s="3">
        <f>ROWS($K$26:INOX[[#This Row],[ESP]])</f>
        <v>11</v>
      </c>
      <c r="Q36" s="3" t="str">
        <f>IF(INOX[[#This Row],[ESP]]=$D$3,INOX[[#This Row],[AUX1]],"")</f>
        <v/>
      </c>
      <c r="R36" s="3" t="str">
        <f>IFERROR(SMALL(INOX[AUX2],INOX[[#This Row],[AUX1]]),"")</f>
        <v/>
      </c>
      <c r="S36" s="3"/>
      <c r="T36" s="44">
        <v>8</v>
      </c>
      <c r="U36" s="22">
        <v>35</v>
      </c>
      <c r="V36" s="23">
        <v>12.824999999999999</v>
      </c>
      <c r="W36" s="22" t="s">
        <v>63</v>
      </c>
      <c r="X36" s="3">
        <f>ROWS($T$26:AL_H14[[#This Row],[ESP]])</f>
        <v>11</v>
      </c>
      <c r="Y36" s="3" t="str">
        <f>IF(AL_H14[[#This Row],[ESP]]=$D$3,AL_H14[[#This Row],[AUX1]],"")</f>
        <v/>
      </c>
      <c r="Z36" s="3" t="str">
        <f>IFERROR(SMALL(AL_H14[AUX2],AL_H14[[#This Row],[AUX1]]),"")</f>
        <v/>
      </c>
    </row>
    <row r="37" spans="2:34" ht="20" customHeight="1" x14ac:dyDescent="0.25">
      <c r="B37" s="27">
        <v>1.5</v>
      </c>
      <c r="C37" s="22">
        <v>5</v>
      </c>
      <c r="D37" s="23">
        <v>2.5</v>
      </c>
      <c r="E37" s="90" t="s">
        <v>104</v>
      </c>
      <c r="F37" s="84" t="s">
        <v>96</v>
      </c>
      <c r="G37" s="3">
        <f>ROWS($B$26:CARBONO[[#This Row],[ESP]])</f>
        <v>12</v>
      </c>
      <c r="H37" s="3" t="str">
        <f>IF(CARBONO[[#This Row],[ESP]]=$D$3,CARBONO[[#This Row],[AUX1]],"")</f>
        <v/>
      </c>
      <c r="I37" s="3" t="str">
        <f>IFERROR(SMALL(CARBONO[AUX2],CARBONO[[#This Row],[AUX1]]),"")</f>
        <v/>
      </c>
      <c r="K37" s="27">
        <v>2.5</v>
      </c>
      <c r="L37" s="22">
        <v>10</v>
      </c>
      <c r="M37" s="23">
        <v>4.3</v>
      </c>
      <c r="N37" s="90" t="s">
        <v>104</v>
      </c>
      <c r="O37" s="84" t="s">
        <v>90</v>
      </c>
      <c r="P37" s="3">
        <f>ROWS($K$26:INOX[[#This Row],[ESP]])</f>
        <v>12</v>
      </c>
      <c r="Q37" s="3" t="str">
        <f>IF(INOX[[#This Row],[ESP]]=$D$3,INOX[[#This Row],[AUX1]],"")</f>
        <v/>
      </c>
      <c r="R37" s="3" t="str">
        <f>IFERROR(SMALL(INOX[AUX2],INOX[[#This Row],[AUX1]]),"")</f>
        <v/>
      </c>
      <c r="S37" s="3"/>
      <c r="T37" s="44">
        <v>8</v>
      </c>
      <c r="U37" s="22">
        <v>50</v>
      </c>
      <c r="V37" s="23">
        <v>13.466666666666669</v>
      </c>
      <c r="W37" s="22"/>
      <c r="X37" s="3">
        <f>ROWS($T$26:AL_H14[[#This Row],[ESP]])</f>
        <v>12</v>
      </c>
      <c r="Y37" s="3" t="str">
        <f>IF(AL_H14[[#This Row],[ESP]]=$D$3,AL_H14[[#This Row],[AUX1]],"")</f>
        <v/>
      </c>
      <c r="Z37" s="3" t="str">
        <f>IFERROR(SMALL(AL_H14[AUX2],AL_H14[[#This Row],[AUX1]]),"")</f>
        <v/>
      </c>
    </row>
    <row r="38" spans="2:34" ht="20" customHeight="1" x14ac:dyDescent="0.25">
      <c r="B38" s="27">
        <v>1.5</v>
      </c>
      <c r="C38" s="22">
        <v>10</v>
      </c>
      <c r="D38" s="23">
        <v>3</v>
      </c>
      <c r="E38" s="90">
        <v>15</v>
      </c>
      <c r="F38" s="84" t="s">
        <v>32</v>
      </c>
      <c r="G38" s="3">
        <f>ROWS($B$26:CARBONO[[#This Row],[ESP]])</f>
        <v>13</v>
      </c>
      <c r="H38" s="3" t="str">
        <f>IF(CARBONO[[#This Row],[ESP]]=$D$3,CARBONO[[#This Row],[AUX1]],"")</f>
        <v/>
      </c>
      <c r="I38" s="3" t="str">
        <f>IFERROR(SMALL(CARBONO[AUX2],CARBONO[[#This Row],[AUX1]]),"")</f>
        <v/>
      </c>
      <c r="K38" s="27">
        <v>2.5</v>
      </c>
      <c r="L38" s="22">
        <v>16</v>
      </c>
      <c r="M38" s="23">
        <v>4.7</v>
      </c>
      <c r="N38" s="90">
        <v>45</v>
      </c>
      <c r="O38" s="84"/>
      <c r="P38" s="3">
        <f>ROWS($K$26:INOX[[#This Row],[ESP]])</f>
        <v>13</v>
      </c>
      <c r="Q38" s="3" t="str">
        <f>IF(INOX[[#This Row],[ESP]]=$D$3,INOX[[#This Row],[AUX1]],"")</f>
        <v/>
      </c>
      <c r="R38" s="3" t="str">
        <f>IFERROR(SMALL(INOX[AUX2],INOX[[#This Row],[AUX1]]),"")</f>
        <v/>
      </c>
      <c r="S38" s="3"/>
      <c r="T38" s="44">
        <v>10</v>
      </c>
      <c r="U38" s="22">
        <v>35</v>
      </c>
      <c r="V38" s="23">
        <v>14.775000000000006</v>
      </c>
      <c r="W38" s="22"/>
      <c r="X38" s="3">
        <f>ROWS($T$26:AL_H14[[#This Row],[ESP]])</f>
        <v>13</v>
      </c>
      <c r="Y38" s="3" t="str">
        <f>IF(AL_H14[[#This Row],[ESP]]=$D$3,AL_H14[[#This Row],[AUX1]],"")</f>
        <v/>
      </c>
      <c r="Z38" s="3" t="str">
        <f>IFERROR(SMALL(AL_H14[AUX2],AL_H14[[#This Row],[AUX1]]),"")</f>
        <v/>
      </c>
    </row>
    <row r="39" spans="2:34" ht="20" customHeight="1" x14ac:dyDescent="0.25">
      <c r="B39" s="27">
        <v>2</v>
      </c>
      <c r="C39" s="22">
        <v>10</v>
      </c>
      <c r="D39" s="23">
        <v>3.3</v>
      </c>
      <c r="E39" s="90">
        <v>30</v>
      </c>
      <c r="F39" s="84"/>
      <c r="G39" s="3">
        <f>ROWS($B$26:CARBONO[[#This Row],[ESP]])</f>
        <v>14</v>
      </c>
      <c r="H39" s="3" t="str">
        <f>IF(CARBONO[[#This Row],[ESP]]=$D$3,CARBONO[[#This Row],[AUX1]],"")</f>
        <v/>
      </c>
      <c r="I39" s="3" t="str">
        <f>IFERROR(SMALL(CARBONO[AUX2],CARBONO[[#This Row],[AUX1]]),"")</f>
        <v/>
      </c>
      <c r="K39" s="27">
        <v>3</v>
      </c>
      <c r="L39" s="22">
        <v>10</v>
      </c>
      <c r="M39" s="23">
        <v>4.88</v>
      </c>
      <c r="N39" s="90" t="s">
        <v>104</v>
      </c>
      <c r="O39" s="84" t="s">
        <v>5</v>
      </c>
      <c r="P39" s="3">
        <f>ROWS($K$26:INOX[[#This Row],[ESP]])</f>
        <v>14</v>
      </c>
      <c r="Q39" s="3" t="str">
        <f>IF(INOX[[#This Row],[ESP]]=$D$3,INOX[[#This Row],[AUX1]],"")</f>
        <v/>
      </c>
      <c r="R39" s="3" t="str">
        <f>IFERROR(SMALL(INOX[AUX2],INOX[[#This Row],[AUX1]]),"")</f>
        <v/>
      </c>
      <c r="S39" s="3"/>
      <c r="T39" s="44">
        <v>10</v>
      </c>
      <c r="U39" s="22" t="s">
        <v>43</v>
      </c>
      <c r="V39" s="23">
        <v>15.1</v>
      </c>
      <c r="W39" s="22"/>
      <c r="X39" s="3">
        <f>ROWS($T$26:AL_H14[[#This Row],[ESP]])</f>
        <v>14</v>
      </c>
      <c r="Y39" s="3" t="str">
        <f>IF(AL_H14[[#This Row],[ESP]]=$D$3,AL_H14[[#This Row],[AUX1]],"")</f>
        <v/>
      </c>
      <c r="Z39" s="3" t="str">
        <f>IFERROR(SMALL(AL_H14[AUX2],AL_H14[[#This Row],[AUX1]]),"")</f>
        <v/>
      </c>
    </row>
    <row r="40" spans="2:34" ht="20" customHeight="1" x14ac:dyDescent="0.25">
      <c r="B40" s="27">
        <v>2</v>
      </c>
      <c r="C40" s="22">
        <v>16</v>
      </c>
      <c r="D40" s="23">
        <v>4</v>
      </c>
      <c r="E40" s="90">
        <v>16</v>
      </c>
      <c r="F40" s="84" t="s">
        <v>32</v>
      </c>
      <c r="G40" s="3">
        <f>ROWS($B$26:CARBONO[[#This Row],[ESP]])</f>
        <v>15</v>
      </c>
      <c r="H40" s="3" t="str">
        <f>IF(CARBONO[[#This Row],[ESP]]=$D$3,CARBONO[[#This Row],[AUX1]],"")</f>
        <v/>
      </c>
      <c r="I40" s="3" t="str">
        <f>IFERROR(SMALL(CARBONO[AUX2],CARBONO[[#This Row],[AUX1]]),"")</f>
        <v/>
      </c>
      <c r="K40" s="27">
        <v>3</v>
      </c>
      <c r="L40" s="22">
        <v>16</v>
      </c>
      <c r="M40" s="23">
        <v>5.6</v>
      </c>
      <c r="N40" s="90">
        <v>71</v>
      </c>
      <c r="O40" s="84"/>
      <c r="P40" s="3">
        <f>ROWS($K$26:INOX[[#This Row],[ESP]])</f>
        <v>15</v>
      </c>
      <c r="Q40" s="3" t="str">
        <f>IF(INOX[[#This Row],[ESP]]=$D$3,INOX[[#This Row],[AUX1]],"")</f>
        <v/>
      </c>
      <c r="R40" s="3" t="str">
        <f>IFERROR(SMALL(INOX[AUX2],INOX[[#This Row],[AUX1]]),"")</f>
        <v/>
      </c>
      <c r="S40" s="3"/>
      <c r="T40" s="44">
        <v>10</v>
      </c>
      <c r="U40" s="22">
        <v>50</v>
      </c>
      <c r="V40" s="23">
        <v>16</v>
      </c>
      <c r="W40" s="22"/>
      <c r="X40" s="3">
        <f>ROWS($T$26:AL_H14[[#This Row],[ESP]])</f>
        <v>15</v>
      </c>
      <c r="Y40" s="3" t="str">
        <f>IF(AL_H14[[#This Row],[ESP]]=$D$3,AL_H14[[#This Row],[AUX1]],"")</f>
        <v/>
      </c>
      <c r="Z40" s="3" t="str">
        <f>IFERROR(SMALL(AL_H14[AUX2],AL_H14[[#This Row],[AUX1]]),"")</f>
        <v/>
      </c>
    </row>
    <row r="41" spans="2:34" ht="20" customHeight="1" thickBot="1" x14ac:dyDescent="0.3">
      <c r="B41" s="27">
        <v>2</v>
      </c>
      <c r="C41" s="22" t="s">
        <v>114</v>
      </c>
      <c r="D41" s="23">
        <v>7</v>
      </c>
      <c r="E41" s="90" t="s">
        <v>104</v>
      </c>
      <c r="F41" s="84" t="s">
        <v>115</v>
      </c>
      <c r="G41" s="3">
        <f>ROWS($B$26:CARBONO[[#This Row],[ESP]])</f>
        <v>16</v>
      </c>
      <c r="H41" s="3" t="str">
        <f>IF(CARBONO[[#This Row],[ESP]]=$D$3,CARBONO[[#This Row],[AUX1]],"")</f>
        <v/>
      </c>
      <c r="I41" s="3" t="str">
        <f>IFERROR(SMALL(CARBONO[AUX2],CARBONO[[#This Row],[AUX1]]),"")</f>
        <v/>
      </c>
      <c r="K41" s="27">
        <v>3</v>
      </c>
      <c r="L41" s="22">
        <v>22</v>
      </c>
      <c r="M41" s="23">
        <v>5.45</v>
      </c>
      <c r="N41" s="90">
        <v>52</v>
      </c>
      <c r="O41" s="84"/>
      <c r="P41" s="3">
        <f>ROWS($K$26:INOX[[#This Row],[ESP]])</f>
        <v>16</v>
      </c>
      <c r="Q41" s="3" t="str">
        <f>IF(INOX[[#This Row],[ESP]]=$D$3,INOX[[#This Row],[AUX1]],"")</f>
        <v/>
      </c>
      <c r="R41" s="3" t="str">
        <f>IFERROR(SMALL(INOX[AUX2],INOX[[#This Row],[AUX1]]),"")</f>
        <v/>
      </c>
      <c r="S41" s="3"/>
      <c r="T41" s="44">
        <v>10</v>
      </c>
      <c r="U41" s="22">
        <v>80</v>
      </c>
      <c r="V41" s="23">
        <v>17.5</v>
      </c>
      <c r="W41" s="22"/>
      <c r="X41" s="77">
        <f>ROWS($T$26:AL_H14[[#This Row],[ESP]])</f>
        <v>16</v>
      </c>
      <c r="Y41" s="3" t="str">
        <f>IF(AL_H14[[#This Row],[ESP]]=$D$3,AL_H14[[#This Row],[AUX1]],"")</f>
        <v/>
      </c>
      <c r="Z41" s="3" t="str">
        <f>IFERROR(SMALL(AL_H14[AUX2],AL_H14[[#This Row],[AUX1]]),"")</f>
        <v/>
      </c>
    </row>
    <row r="42" spans="2:34" ht="20" customHeight="1" x14ac:dyDescent="0.25">
      <c r="B42" s="27">
        <v>2.65</v>
      </c>
      <c r="C42" s="22">
        <v>10</v>
      </c>
      <c r="D42" s="23">
        <v>4.25</v>
      </c>
      <c r="E42" s="90" t="s">
        <v>104</v>
      </c>
      <c r="F42" s="84"/>
      <c r="G42" s="3">
        <f>ROWS($B$26:CARBONO[[#This Row],[ESP]])</f>
        <v>17</v>
      </c>
      <c r="H42" s="3" t="str">
        <f>IF(CARBONO[[#This Row],[ESP]]=$D$3,CARBONO[[#This Row],[AUX1]],"")</f>
        <v/>
      </c>
      <c r="I42" s="3" t="str">
        <f>IFERROR(SMALL(CARBONO[AUX2],CARBONO[[#This Row],[AUX1]]),"")</f>
        <v/>
      </c>
      <c r="K42" s="27">
        <v>3</v>
      </c>
      <c r="L42" s="22">
        <v>25</v>
      </c>
      <c r="M42" s="23">
        <v>6.6</v>
      </c>
      <c r="N42" s="90">
        <v>38</v>
      </c>
      <c r="O42" s="84" t="s">
        <v>48</v>
      </c>
      <c r="P42" s="3">
        <f>ROWS($K$26:INOX[[#This Row],[ESP]])</f>
        <v>17</v>
      </c>
      <c r="Q42" s="3" t="str">
        <f>IF(INOX[[#This Row],[ESP]]=$D$3,INOX[[#This Row],[AUX1]],"")</f>
        <v/>
      </c>
      <c r="R42" s="3" t="str">
        <f>IFERROR(SMALL(INOX[AUX2],INOX[[#This Row],[AUX1]]),"")</f>
        <v/>
      </c>
      <c r="S42" s="3"/>
      <c r="AC42" s="5"/>
    </row>
    <row r="43" spans="2:34" ht="20" customHeight="1" x14ac:dyDescent="0.25">
      <c r="B43" s="27">
        <v>2.65</v>
      </c>
      <c r="C43" s="22">
        <v>16</v>
      </c>
      <c r="D43" s="23">
        <v>5</v>
      </c>
      <c r="E43" s="90">
        <v>27</v>
      </c>
      <c r="F43" s="84" t="s">
        <v>32</v>
      </c>
      <c r="G43" s="3">
        <f>ROWS($B$26:CARBONO[[#This Row],[ESP]])</f>
        <v>18</v>
      </c>
      <c r="H43" s="3" t="str">
        <f>IF(CARBONO[[#This Row],[ESP]]=$D$3,CARBONO[[#This Row],[AUX1]],"")</f>
        <v/>
      </c>
      <c r="I43" s="3" t="str">
        <f>IFERROR(SMALL(CARBONO[AUX2],CARBONO[[#This Row],[AUX1]]),"")</f>
        <v/>
      </c>
      <c r="K43" s="27">
        <v>3</v>
      </c>
      <c r="L43" s="22" t="s">
        <v>33</v>
      </c>
      <c r="M43" s="23">
        <v>6.6</v>
      </c>
      <c r="N43" s="90">
        <v>38</v>
      </c>
      <c r="O43" s="84" t="s">
        <v>48</v>
      </c>
      <c r="P43" s="3">
        <f>ROWS($K$26:INOX[[#This Row],[ESP]])</f>
        <v>18</v>
      </c>
      <c r="Q43" s="3" t="str">
        <f>IF(INOX[[#This Row],[ESP]]=$D$3,INOX[[#This Row],[AUX1]],"")</f>
        <v/>
      </c>
      <c r="R43" s="3" t="str">
        <f>IFERROR(SMALL(INOX[AUX2],INOX[[#This Row],[AUX1]]),"")</f>
        <v/>
      </c>
      <c r="S43" s="3"/>
    </row>
    <row r="44" spans="2:34" ht="20" customHeight="1" x14ac:dyDescent="0.25">
      <c r="B44" s="27" t="s">
        <v>108</v>
      </c>
      <c r="C44" s="22">
        <v>16</v>
      </c>
      <c r="D44" s="23">
        <v>4.5</v>
      </c>
      <c r="E44" s="90">
        <v>27</v>
      </c>
      <c r="F44" s="84" t="s">
        <v>109</v>
      </c>
      <c r="G44" s="3">
        <f>ROWS($B$26:CARBONO[[#This Row],[ESP]])</f>
        <v>19</v>
      </c>
      <c r="H44" s="3" t="str">
        <f>IF(CARBONO[[#This Row],[ESP]]=$D$3,CARBONO[[#This Row],[AUX1]],"")</f>
        <v/>
      </c>
      <c r="I44" s="3" t="str">
        <f>IFERROR(SMALL(CARBONO[AUX2],CARBONO[[#This Row],[AUX1]]),"")</f>
        <v/>
      </c>
      <c r="K44" s="27">
        <v>3</v>
      </c>
      <c r="L44" s="22" t="s">
        <v>43</v>
      </c>
      <c r="M44" s="23">
        <v>7.4</v>
      </c>
      <c r="N44" s="90">
        <v>27</v>
      </c>
      <c r="O44" s="84" t="s">
        <v>49</v>
      </c>
      <c r="P44" s="3">
        <f>ROWS($K$26:INOX[[#This Row],[ESP]])</f>
        <v>19</v>
      </c>
      <c r="Q44" s="3" t="str">
        <f>IF(INOX[[#This Row],[ESP]]=$D$3,INOX[[#This Row],[AUX1]],"")</f>
        <v/>
      </c>
      <c r="R44" s="3" t="str">
        <f>IFERROR(SMALL(INOX[AUX2],INOX[[#This Row],[AUX1]]),"")</f>
        <v/>
      </c>
      <c r="S44" s="3"/>
    </row>
    <row r="45" spans="2:34" ht="20" customHeight="1" x14ac:dyDescent="0.25">
      <c r="B45" s="27">
        <v>2.65</v>
      </c>
      <c r="C45" s="22">
        <v>25</v>
      </c>
      <c r="D45" s="23">
        <v>6</v>
      </c>
      <c r="E45" s="90">
        <v>14</v>
      </c>
      <c r="F45" s="84"/>
      <c r="G45" s="3">
        <f>ROWS($B$26:CARBONO[[#This Row],[ESP]])</f>
        <v>20</v>
      </c>
      <c r="H45" s="3" t="str">
        <f>IF(CARBONO[[#This Row],[ESP]]=$D$3,CARBONO[[#This Row],[AUX1]],"")</f>
        <v/>
      </c>
      <c r="I45" s="3" t="str">
        <f>IFERROR(SMALL(CARBONO[AUX2],CARBONO[[#This Row],[AUX1]]),"")</f>
        <v/>
      </c>
      <c r="K45" s="27">
        <v>4</v>
      </c>
      <c r="L45" s="22">
        <v>16</v>
      </c>
      <c r="M45" s="23">
        <v>6.85</v>
      </c>
      <c r="N45" s="90" t="s">
        <v>104</v>
      </c>
      <c r="O45" s="84"/>
      <c r="P45" s="3">
        <f>ROWS($K$26:INOX[[#This Row],[ESP]])</f>
        <v>20</v>
      </c>
      <c r="Q45" s="3" t="str">
        <f>IF(INOX[[#This Row],[ESP]]=$D$3,INOX[[#This Row],[AUX1]],"")</f>
        <v/>
      </c>
      <c r="R45" s="3" t="str">
        <f>IFERROR(SMALL(INOX[AUX2],INOX[[#This Row],[AUX1]]),"")</f>
        <v/>
      </c>
      <c r="S45" s="3"/>
    </row>
    <row r="46" spans="2:34" ht="20" customHeight="1" x14ac:dyDescent="0.25">
      <c r="B46" s="27">
        <v>3.18</v>
      </c>
      <c r="C46" s="22">
        <v>10</v>
      </c>
      <c r="D46" s="23">
        <v>4.5999999999999996</v>
      </c>
      <c r="E46" s="90" t="s">
        <v>104</v>
      </c>
      <c r="F46" s="84" t="s">
        <v>94</v>
      </c>
      <c r="G46" s="3">
        <f>ROWS($B$26:CARBONO[[#This Row],[ESP]])</f>
        <v>21</v>
      </c>
      <c r="H46" s="3" t="str">
        <f>IF(CARBONO[[#This Row],[ESP]]=$D$3,CARBONO[[#This Row],[AUX1]],"")</f>
        <v/>
      </c>
      <c r="I46" s="3" t="str">
        <f>IFERROR(SMALL(CARBONO[AUX2],CARBONO[[#This Row],[AUX1]]),"")</f>
        <v/>
      </c>
      <c r="K46" s="27">
        <v>4</v>
      </c>
      <c r="L46" s="22">
        <v>25</v>
      </c>
      <c r="M46" s="23">
        <v>7.5</v>
      </c>
      <c r="N46" s="90">
        <v>73</v>
      </c>
      <c r="O46" s="84"/>
      <c r="P46" s="3">
        <f>ROWS($K$26:INOX[[#This Row],[ESP]])</f>
        <v>21</v>
      </c>
      <c r="Q46" s="3" t="str">
        <f>IF(INOX[[#This Row],[ESP]]=$D$3,INOX[[#This Row],[AUX1]],"")</f>
        <v/>
      </c>
      <c r="R46" s="3" t="str">
        <f>IFERROR(SMALL(INOX[AUX2],INOX[[#This Row],[AUX1]]),"")</f>
        <v/>
      </c>
      <c r="S46" s="3"/>
    </row>
    <row r="47" spans="2:34" ht="20" customHeight="1" x14ac:dyDescent="0.25">
      <c r="B47" s="27">
        <v>3.18</v>
      </c>
      <c r="C47" s="22">
        <v>16</v>
      </c>
      <c r="D47" s="23">
        <v>5.3</v>
      </c>
      <c r="E47" s="90">
        <v>43</v>
      </c>
      <c r="F47" s="84"/>
      <c r="G47" s="3">
        <f>ROWS($B$26:CARBONO[[#This Row],[ESP]])</f>
        <v>22</v>
      </c>
      <c r="H47" s="3" t="str">
        <f>IF(CARBONO[[#This Row],[ESP]]=$D$3,CARBONO[[#This Row],[AUX1]],"")</f>
        <v/>
      </c>
      <c r="I47" s="3" t="str">
        <f>IFERROR(SMALL(CARBONO[AUX2],CARBONO[[#This Row],[AUX1]]),"")</f>
        <v/>
      </c>
      <c r="K47" s="27">
        <v>4</v>
      </c>
      <c r="L47" s="22" t="s">
        <v>43</v>
      </c>
      <c r="M47" s="23">
        <v>8.6</v>
      </c>
      <c r="N47" s="90">
        <v>53</v>
      </c>
      <c r="O47" s="84"/>
      <c r="P47" s="3">
        <f>ROWS($K$26:INOX[[#This Row],[ESP]])</f>
        <v>22</v>
      </c>
      <c r="Q47" s="3" t="str">
        <f>IF(INOX[[#This Row],[ESP]]=$D$3,INOX[[#This Row],[AUX1]],"")</f>
        <v/>
      </c>
      <c r="R47" s="3" t="str">
        <f>IFERROR(SMALL(INOX[AUX2],INOX[[#This Row],[AUX1]]),"")</f>
        <v/>
      </c>
      <c r="S47" s="3"/>
    </row>
    <row r="48" spans="2:34" ht="20" customHeight="1" x14ac:dyDescent="0.25">
      <c r="B48" s="27">
        <v>3.18</v>
      </c>
      <c r="C48" s="22">
        <v>22</v>
      </c>
      <c r="D48" s="23">
        <v>5.4</v>
      </c>
      <c r="E48" s="90">
        <v>31</v>
      </c>
      <c r="F48" s="84"/>
      <c r="G48" s="3">
        <f>ROWS($B$26:CARBONO[[#This Row],[ESP]])</f>
        <v>23</v>
      </c>
      <c r="H48" s="3" t="str">
        <f>IF(CARBONO[[#This Row],[ESP]]=$D$3,CARBONO[[#This Row],[AUX1]],"")</f>
        <v/>
      </c>
      <c r="I48" s="3" t="str">
        <f>IFERROR(SMALL(CARBONO[AUX2],CARBONO[[#This Row],[AUX1]]),"")</f>
        <v/>
      </c>
      <c r="K48" s="27">
        <v>4.2</v>
      </c>
      <c r="L48" s="22">
        <v>22</v>
      </c>
      <c r="M48" s="23">
        <v>7.75</v>
      </c>
      <c r="N48" s="90">
        <v>101</v>
      </c>
      <c r="O48" s="84"/>
      <c r="P48" s="3">
        <f>ROWS($K$26:INOX[[#This Row],[ESP]])</f>
        <v>23</v>
      </c>
      <c r="Q48" s="3" t="str">
        <f>IF(INOX[[#This Row],[ESP]]=$D$3,INOX[[#This Row],[AUX1]],"")</f>
        <v/>
      </c>
      <c r="R48" s="3" t="str">
        <f>IFERROR(SMALL(INOX[AUX2],INOX[[#This Row],[AUX1]]),"")</f>
        <v/>
      </c>
      <c r="S48" s="3"/>
    </row>
    <row r="49" spans="2:19" ht="20" customHeight="1" x14ac:dyDescent="0.25">
      <c r="B49" s="27">
        <v>3.18</v>
      </c>
      <c r="C49" s="22">
        <v>25</v>
      </c>
      <c r="D49" s="23">
        <v>6</v>
      </c>
      <c r="E49" s="90">
        <v>23</v>
      </c>
      <c r="F49" s="84" t="s">
        <v>32</v>
      </c>
      <c r="G49" s="3">
        <f>ROWS($B$26:CARBONO[[#This Row],[ESP]])</f>
        <v>24</v>
      </c>
      <c r="H49" s="3" t="str">
        <f>IF(CARBONO[[#This Row],[ESP]]=$D$3,CARBONO[[#This Row],[AUX1]],"")</f>
        <v/>
      </c>
      <c r="I49" s="3" t="str">
        <f>IFERROR(SMALL(CARBONO[AUX2],CARBONO[[#This Row],[AUX1]]),"")</f>
        <v/>
      </c>
      <c r="K49" s="27">
        <v>4.2</v>
      </c>
      <c r="L49" s="22">
        <v>35</v>
      </c>
      <c r="M49" s="23">
        <v>8.8000000000000007</v>
      </c>
      <c r="N49" s="90">
        <v>53</v>
      </c>
      <c r="O49" s="84"/>
      <c r="P49" s="3">
        <f>ROWS($K$26:INOX[[#This Row],[ESP]])</f>
        <v>24</v>
      </c>
      <c r="Q49" s="3" t="str">
        <f>IF(INOX[[#This Row],[ESP]]=$D$3,INOX[[#This Row],[AUX1]],"")</f>
        <v/>
      </c>
      <c r="R49" s="3" t="str">
        <f>IFERROR(SMALL(INOX[AUX2],INOX[[#This Row],[AUX1]]),"")</f>
        <v/>
      </c>
      <c r="S49" s="3"/>
    </row>
    <row r="50" spans="2:19" ht="20" customHeight="1" x14ac:dyDescent="0.25">
      <c r="B50" s="27">
        <v>3.18</v>
      </c>
      <c r="C50" s="22" t="s">
        <v>106</v>
      </c>
      <c r="D50" s="23" t="s">
        <v>110</v>
      </c>
      <c r="E50" s="90"/>
      <c r="F50" s="84" t="s">
        <v>111</v>
      </c>
      <c r="G50" s="3">
        <f>ROWS($B$26:CARBONO[[#This Row],[ESP]])</f>
        <v>25</v>
      </c>
      <c r="H50" s="3" t="str">
        <f>IF(CARBONO[[#This Row],[ESP]]=$D$3,CARBONO[[#This Row],[AUX1]],"")</f>
        <v/>
      </c>
      <c r="I50" s="3" t="str">
        <f>IFERROR(SMALL(CARBONO[AUX2],CARBONO[[#This Row],[AUX1]]),"")</f>
        <v/>
      </c>
      <c r="K50" s="27">
        <v>5</v>
      </c>
      <c r="L50" s="22">
        <v>16</v>
      </c>
      <c r="M50" s="23">
        <v>8</v>
      </c>
      <c r="N50" s="90" t="s">
        <v>104</v>
      </c>
      <c r="O50" s="85" t="s">
        <v>89</v>
      </c>
      <c r="P50" s="3">
        <f>ROWS($K$26:INOX[[#This Row],[ESP]])</f>
        <v>25</v>
      </c>
      <c r="Q50" s="3" t="str">
        <f>IF(INOX[[#This Row],[ESP]]=$D$3,INOX[[#This Row],[AUX1]],"")</f>
        <v/>
      </c>
      <c r="R50" s="3" t="str">
        <f>IFERROR(SMALL(INOX[AUX2],INOX[[#This Row],[AUX1]]),"")</f>
        <v/>
      </c>
      <c r="S50" s="3"/>
    </row>
    <row r="51" spans="2:19" ht="20" customHeight="1" x14ac:dyDescent="0.25">
      <c r="B51" s="27">
        <v>4</v>
      </c>
      <c r="C51" s="22">
        <v>16</v>
      </c>
      <c r="D51" s="23">
        <v>6.5</v>
      </c>
      <c r="E51" s="90" t="s">
        <v>104</v>
      </c>
      <c r="F51" s="84"/>
      <c r="G51" s="3">
        <f>ROWS($B$26:CARBONO[[#This Row],[ESP]])</f>
        <v>26</v>
      </c>
      <c r="H51" s="3" t="str">
        <f>IF(CARBONO[[#This Row],[ESP]]=$D$3,CARBONO[[#This Row],[AUX1]],"")</f>
        <v/>
      </c>
      <c r="I51" s="3" t="str">
        <f>IFERROR(SMALL(CARBONO[AUX2],CARBONO[[#This Row],[AUX1]]),"")</f>
        <v/>
      </c>
      <c r="K51" s="27">
        <v>5</v>
      </c>
      <c r="L51" s="22">
        <v>22</v>
      </c>
      <c r="M51" s="23">
        <v>8.3000000000000007</v>
      </c>
      <c r="N51" s="90" t="s">
        <v>104</v>
      </c>
      <c r="O51" s="84"/>
      <c r="P51" s="3">
        <f>ROWS($K$26:INOX[[#This Row],[ESP]])</f>
        <v>26</v>
      </c>
      <c r="Q51" s="3" t="str">
        <f>IF(INOX[[#This Row],[ESP]]=$D$3,INOX[[#This Row],[AUX1]],"")</f>
        <v/>
      </c>
      <c r="R51" s="3" t="str">
        <f>IFERROR(SMALL(INOX[AUX2],INOX[[#This Row],[AUX1]]),"")</f>
        <v/>
      </c>
      <c r="S51" s="3"/>
    </row>
    <row r="52" spans="2:19" ht="20" customHeight="1" x14ac:dyDescent="0.25">
      <c r="B52" s="27">
        <v>4</v>
      </c>
      <c r="C52" s="22">
        <v>25</v>
      </c>
      <c r="D52" s="23">
        <v>7</v>
      </c>
      <c r="E52" s="90">
        <v>44</v>
      </c>
      <c r="F52" s="84"/>
      <c r="G52" s="3">
        <f>ROWS($B$26:CARBONO[[#This Row],[ESP]])</f>
        <v>27</v>
      </c>
      <c r="H52" s="3" t="str">
        <f>IF(CARBONO[[#This Row],[ESP]]=$D$3,CARBONO[[#This Row],[AUX1]],"")</f>
        <v/>
      </c>
      <c r="I52" s="3" t="str">
        <f>IFERROR(SMALL(CARBONO[AUX2],CARBONO[[#This Row],[AUX1]]),"")</f>
        <v/>
      </c>
      <c r="K52" s="27">
        <v>5</v>
      </c>
      <c r="L52" s="22">
        <v>25</v>
      </c>
      <c r="M52" s="23">
        <v>8.75</v>
      </c>
      <c r="N52" s="90">
        <v>126</v>
      </c>
      <c r="O52" s="84"/>
      <c r="P52" s="3">
        <f>ROWS($K$26:INOX[[#This Row],[ESP]])</f>
        <v>27</v>
      </c>
      <c r="Q52" s="3" t="str">
        <f>IF(INOX[[#This Row],[ESP]]=$D$3,INOX[[#This Row],[AUX1]],"")</f>
        <v/>
      </c>
      <c r="R52" s="3" t="str">
        <f>IFERROR(SMALL(INOX[AUX2],INOX[[#This Row],[AUX1]]),"")</f>
        <v/>
      </c>
      <c r="S52" s="3"/>
    </row>
    <row r="53" spans="2:19" ht="20" customHeight="1" x14ac:dyDescent="0.25">
      <c r="B53" s="27">
        <v>4</v>
      </c>
      <c r="C53" s="22">
        <v>35</v>
      </c>
      <c r="D53" s="23">
        <v>8.4</v>
      </c>
      <c r="E53" s="90">
        <v>32</v>
      </c>
      <c r="F53" s="84" t="s">
        <v>32</v>
      </c>
      <c r="G53" s="3">
        <f>ROWS($B$26:CARBONO[[#This Row],[ESP]])</f>
        <v>28</v>
      </c>
      <c r="H53" s="3" t="str">
        <f>IF(CARBONO[[#This Row],[ESP]]=$D$3,CARBONO[[#This Row],[AUX1]],"")</f>
        <v/>
      </c>
      <c r="I53" s="3" t="str">
        <f>IFERROR(SMALL(CARBONO[AUX2],CARBONO[[#This Row],[AUX1]]),"")</f>
        <v/>
      </c>
      <c r="K53" s="27">
        <v>5</v>
      </c>
      <c r="L53" s="22">
        <v>35</v>
      </c>
      <c r="M53" s="23">
        <v>9</v>
      </c>
      <c r="N53" s="90">
        <v>90</v>
      </c>
      <c r="O53" s="84" t="s">
        <v>32</v>
      </c>
      <c r="P53" s="3">
        <f>ROWS($K$26:INOX[[#This Row],[ESP]])</f>
        <v>28</v>
      </c>
      <c r="Q53" s="3" t="str">
        <f>IF(INOX[[#This Row],[ESP]]=$D$3,INOX[[#This Row],[AUX1]],"")</f>
        <v/>
      </c>
      <c r="R53" s="3" t="str">
        <f>IFERROR(SMALL(INOX[AUX2],INOX[[#This Row],[AUX1]]),"")</f>
        <v/>
      </c>
      <c r="S53" s="3"/>
    </row>
    <row r="54" spans="2:19" ht="20" customHeight="1" x14ac:dyDescent="0.25">
      <c r="B54" s="27">
        <v>4.25</v>
      </c>
      <c r="C54" s="22">
        <v>22</v>
      </c>
      <c r="D54" s="23">
        <v>6.8</v>
      </c>
      <c r="E54" s="90">
        <v>60</v>
      </c>
      <c r="F54" s="84"/>
      <c r="G54" s="3">
        <f>ROWS($B$26:CARBONO[[#This Row],[ESP]])</f>
        <v>29</v>
      </c>
      <c r="H54" s="3" t="str">
        <f>IF(CARBONO[[#This Row],[ESP]]=$D$3,CARBONO[[#This Row],[AUX1]],"")</f>
        <v/>
      </c>
      <c r="I54" s="3" t="str">
        <f>IFERROR(SMALL(CARBONO[AUX2],CARBONO[[#This Row],[AUX1]]),"")</f>
        <v/>
      </c>
      <c r="K54" s="27">
        <v>5</v>
      </c>
      <c r="L54" s="22">
        <v>50</v>
      </c>
      <c r="M54" s="23">
        <v>10</v>
      </c>
      <c r="N54" s="90">
        <v>48</v>
      </c>
      <c r="O54" s="84" t="s">
        <v>91</v>
      </c>
      <c r="P54" s="3">
        <f>ROWS($K$26:INOX[[#This Row],[ESP]])</f>
        <v>29</v>
      </c>
      <c r="Q54" s="3" t="str">
        <f>IF(INOX[[#This Row],[ESP]]=$D$3,INOX[[#This Row],[AUX1]],"")</f>
        <v/>
      </c>
      <c r="R54" s="3" t="str">
        <f>IFERROR(SMALL(INOX[AUX2],INOX[[#This Row],[AUX1]]),"")</f>
        <v/>
      </c>
      <c r="S54" s="3"/>
    </row>
    <row r="55" spans="2:19" ht="20" customHeight="1" x14ac:dyDescent="0.25">
      <c r="B55" s="27">
        <v>4.25</v>
      </c>
      <c r="C55" s="22">
        <v>25</v>
      </c>
      <c r="D55" s="23">
        <v>7.6</v>
      </c>
      <c r="E55" s="90">
        <v>44</v>
      </c>
      <c r="F55" s="84"/>
      <c r="G55" s="3">
        <f>ROWS($B$26:CARBONO[[#This Row],[ESP]])</f>
        <v>30</v>
      </c>
      <c r="H55" s="3" t="str">
        <f>IF(CARBONO[[#This Row],[ESP]]=$D$3,CARBONO[[#This Row],[AUX1]],"")</f>
        <v/>
      </c>
      <c r="I55" s="3" t="str">
        <f>IFERROR(SMALL(CARBONO[AUX2],CARBONO[[#This Row],[AUX1]]),"")</f>
        <v/>
      </c>
      <c r="K55" s="27">
        <v>5</v>
      </c>
      <c r="L55" s="22" t="s">
        <v>43</v>
      </c>
      <c r="M55" s="23">
        <v>9.6999999999999993</v>
      </c>
      <c r="N55" s="90">
        <v>90</v>
      </c>
      <c r="O55" s="84"/>
      <c r="P55" s="3">
        <f>ROWS($K$26:INOX[[#This Row],[ESP]])</f>
        <v>30</v>
      </c>
      <c r="Q55" s="3" t="str">
        <f>IF(INOX[[#This Row],[ESP]]=$D$3,INOX[[#This Row],[AUX1]],"")</f>
        <v/>
      </c>
      <c r="R55" s="3" t="str">
        <f>IFERROR(SMALL(INOX[AUX2],INOX[[#This Row],[AUX1]]),"")</f>
        <v/>
      </c>
      <c r="S55" s="3"/>
    </row>
    <row r="56" spans="2:19" ht="20" customHeight="1" x14ac:dyDescent="0.25">
      <c r="B56" s="27">
        <v>4.25</v>
      </c>
      <c r="C56" s="22">
        <v>35</v>
      </c>
      <c r="D56" s="23">
        <v>7.95</v>
      </c>
      <c r="E56" s="90">
        <v>32</v>
      </c>
      <c r="F56" s="84" t="s">
        <v>32</v>
      </c>
      <c r="G56" s="3">
        <f>ROWS($B$26:CARBONO[[#This Row],[ESP]])</f>
        <v>31</v>
      </c>
      <c r="H56" s="3" t="str">
        <f>IF(CARBONO[[#This Row],[ESP]]=$D$3,CARBONO[[#This Row],[AUX1]],"")</f>
        <v/>
      </c>
      <c r="I56" s="3" t="str">
        <f>IFERROR(SMALL(CARBONO[AUX2],CARBONO[[#This Row],[AUX1]]),"")</f>
        <v/>
      </c>
      <c r="K56" s="27">
        <v>6</v>
      </c>
      <c r="L56" s="22">
        <v>25</v>
      </c>
      <c r="M56" s="23">
        <v>10.4</v>
      </c>
      <c r="N56" s="90" t="s">
        <v>104</v>
      </c>
      <c r="O56" s="84"/>
      <c r="P56" s="3">
        <f>ROWS($K$26:INOX[[#This Row],[ESP]])</f>
        <v>31</v>
      </c>
      <c r="Q56" s="3" t="str">
        <f>IF(INOX[[#This Row],[ESP]]=$D$3,INOX[[#This Row],[AUX1]],"")</f>
        <v/>
      </c>
      <c r="R56" s="3" t="str">
        <f>IFERROR(SMALL(INOX[AUX2],INOX[[#This Row],[AUX1]]),"")</f>
        <v/>
      </c>
      <c r="S56" s="3"/>
    </row>
    <row r="57" spans="2:19" ht="20" customHeight="1" x14ac:dyDescent="0.25">
      <c r="B57" s="27">
        <v>4.75</v>
      </c>
      <c r="C57" s="22">
        <v>16</v>
      </c>
      <c r="D57" s="23">
        <v>7.5</v>
      </c>
      <c r="E57" s="90" t="s">
        <v>104</v>
      </c>
      <c r="F57" s="84" t="s">
        <v>94</v>
      </c>
      <c r="G57" s="3">
        <f>ROWS($B$26:CARBONO[[#This Row],[ESP]])</f>
        <v>32</v>
      </c>
      <c r="H57" s="3" t="str">
        <f>IF(CARBONO[[#This Row],[ESP]]=$D$3,CARBONO[[#This Row],[AUX1]],"")</f>
        <v/>
      </c>
      <c r="I57" s="3" t="str">
        <f>IFERROR(SMALL(CARBONO[AUX2],CARBONO[[#This Row],[AUX1]]),"")</f>
        <v/>
      </c>
      <c r="K57" s="27">
        <v>6</v>
      </c>
      <c r="L57" s="22">
        <v>35</v>
      </c>
      <c r="M57" s="23">
        <v>11.2</v>
      </c>
      <c r="N57" s="90">
        <v>142</v>
      </c>
      <c r="O57" s="84"/>
      <c r="P57" s="3">
        <f>ROWS($K$26:INOX[[#This Row],[ESP]])</f>
        <v>32</v>
      </c>
      <c r="Q57" s="3" t="str">
        <f>IF(INOX[[#This Row],[ESP]]=$D$3,INOX[[#This Row],[AUX1]],"")</f>
        <v/>
      </c>
      <c r="R57" s="3" t="str">
        <f>IFERROR(SMALL(INOX[AUX2],INOX[[#This Row],[AUX1]]),"")</f>
        <v/>
      </c>
      <c r="S57" s="3"/>
    </row>
    <row r="58" spans="2:19" ht="20" customHeight="1" x14ac:dyDescent="0.25">
      <c r="B58" s="27">
        <v>4.75</v>
      </c>
      <c r="C58" s="22">
        <v>22</v>
      </c>
      <c r="D58" s="23">
        <v>8</v>
      </c>
      <c r="E58" s="90" t="s">
        <v>104</v>
      </c>
      <c r="F58" s="84"/>
      <c r="G58" s="3">
        <f>ROWS($B$26:CARBONO[[#This Row],[ESP]])</f>
        <v>33</v>
      </c>
      <c r="H58" s="3" t="str">
        <f>IF(CARBONO[[#This Row],[ESP]]=$D$3,CARBONO[[#This Row],[AUX1]],"")</f>
        <v/>
      </c>
      <c r="I58" s="3" t="str">
        <f>IFERROR(SMALL(CARBONO[AUX2],CARBONO[[#This Row],[AUX1]]),"")</f>
        <v/>
      </c>
      <c r="K58" s="27">
        <v>6</v>
      </c>
      <c r="L58" s="22">
        <v>50</v>
      </c>
      <c r="M58" s="23">
        <v>12.7</v>
      </c>
      <c r="N58" s="90">
        <v>76</v>
      </c>
      <c r="O58" s="84"/>
      <c r="P58" s="3">
        <f>ROWS($K$26:INOX[[#This Row],[ESP]])</f>
        <v>33</v>
      </c>
      <c r="Q58" s="3" t="str">
        <f>IF(INOX[[#This Row],[ESP]]=$D$3,INOX[[#This Row],[AUX1]],"")</f>
        <v/>
      </c>
      <c r="R58" s="3" t="str">
        <f>IFERROR(SMALL(INOX[AUX2],INOX[[#This Row],[AUX1]]),"")</f>
        <v/>
      </c>
      <c r="S58" s="3"/>
    </row>
    <row r="59" spans="2:19" ht="20" customHeight="1" x14ac:dyDescent="0.25">
      <c r="B59" s="27">
        <v>4.75</v>
      </c>
      <c r="C59" s="22">
        <v>25</v>
      </c>
      <c r="D59" s="23">
        <v>8.25</v>
      </c>
      <c r="E59" s="90">
        <v>76</v>
      </c>
      <c r="F59" s="84"/>
      <c r="G59" s="3">
        <f>ROWS($B$26:CARBONO[[#This Row],[ESP]])</f>
        <v>34</v>
      </c>
      <c r="H59" s="3" t="str">
        <f>IF(CARBONO[[#This Row],[ESP]]=$D$3,CARBONO[[#This Row],[AUX1]],"")</f>
        <v/>
      </c>
      <c r="I59" s="3" t="str">
        <f>IFERROR(SMALL(CARBONO[AUX2],CARBONO[[#This Row],[AUX1]]),"")</f>
        <v/>
      </c>
      <c r="K59" s="27">
        <v>8</v>
      </c>
      <c r="L59" s="22">
        <v>35</v>
      </c>
      <c r="M59" s="23">
        <v>13.25</v>
      </c>
      <c r="N59" s="90" t="s">
        <v>104</v>
      </c>
      <c r="O59" s="84"/>
      <c r="P59" s="3">
        <f>ROWS($K$26:INOX[[#This Row],[ESP]])</f>
        <v>34</v>
      </c>
      <c r="Q59" s="3" t="str">
        <f>IF(INOX[[#This Row],[ESP]]=$D$3,INOX[[#This Row],[AUX1]],"")</f>
        <v/>
      </c>
      <c r="R59" s="3" t="str">
        <f>IFERROR(SMALL(INOX[AUX2],INOX[[#This Row],[AUX1]]),"")</f>
        <v/>
      </c>
      <c r="S59" s="3"/>
    </row>
    <row r="60" spans="2:19" ht="20" customHeight="1" x14ac:dyDescent="0.25">
      <c r="B60" s="27">
        <v>4.75</v>
      </c>
      <c r="C60" s="22">
        <v>35</v>
      </c>
      <c r="D60" s="23">
        <v>8.5</v>
      </c>
      <c r="E60" s="90">
        <v>54</v>
      </c>
      <c r="F60" s="84" t="s">
        <v>32</v>
      </c>
      <c r="G60" s="3">
        <f>ROWS($B$26:CARBONO[[#This Row],[ESP]])</f>
        <v>35</v>
      </c>
      <c r="H60" s="3" t="str">
        <f>IF(CARBONO[[#This Row],[ESP]]=$D$3,CARBONO[[#This Row],[AUX1]],"")</f>
        <v/>
      </c>
      <c r="I60" s="3" t="str">
        <f>IFERROR(SMALL(CARBONO[AUX2],CARBONO[[#This Row],[AUX1]]),"")</f>
        <v/>
      </c>
      <c r="K60" s="27">
        <v>8</v>
      </c>
      <c r="L60" s="22">
        <v>50</v>
      </c>
      <c r="M60" s="23">
        <v>15.05</v>
      </c>
      <c r="N60" s="90">
        <v>147</v>
      </c>
      <c r="O60" s="84" t="s">
        <v>116</v>
      </c>
      <c r="P60" s="3">
        <f>ROWS($K$26:INOX[[#This Row],[ESP]])</f>
        <v>35</v>
      </c>
      <c r="Q60" s="3" t="str">
        <f>IF(INOX[[#This Row],[ESP]]=$D$3,INOX[[#This Row],[AUX1]],"")</f>
        <v/>
      </c>
      <c r="R60" s="3" t="str">
        <f>IFERROR(SMALL(INOX[AUX2],INOX[[#This Row],[AUX1]]),"")</f>
        <v/>
      </c>
      <c r="S60" s="3"/>
    </row>
    <row r="61" spans="2:19" ht="20" customHeight="1" x14ac:dyDescent="0.25">
      <c r="B61" s="27">
        <v>6.35</v>
      </c>
      <c r="C61" s="22">
        <v>25</v>
      </c>
      <c r="D61" s="23">
        <v>10</v>
      </c>
      <c r="E61" s="90" t="s">
        <v>104</v>
      </c>
      <c r="F61" s="84"/>
      <c r="G61" s="3">
        <f>ROWS($B$26:CARBONO[[#This Row],[ESP]])</f>
        <v>36</v>
      </c>
      <c r="H61" s="3" t="str">
        <f>IF(CARBONO[[#This Row],[ESP]]=$D$3,CARBONO[[#This Row],[AUX1]],"")</f>
        <v/>
      </c>
      <c r="I61" s="3" t="str">
        <f>IFERROR(SMALL(CARBONO[AUX2],CARBONO[[#This Row],[AUX1]]),"")</f>
        <v/>
      </c>
      <c r="K61" s="27">
        <v>9.5</v>
      </c>
      <c r="L61" s="22">
        <v>35</v>
      </c>
      <c r="M61" s="23">
        <v>14.3</v>
      </c>
      <c r="N61" s="90" t="s">
        <v>104</v>
      </c>
      <c r="O61" s="84"/>
      <c r="P61" s="3">
        <f>ROWS($K$26:INOX[[#This Row],[ESP]])</f>
        <v>36</v>
      </c>
      <c r="Q61" s="3" t="str">
        <f>IF(INOX[[#This Row],[ESP]]=$D$3,INOX[[#This Row],[AUX1]],"")</f>
        <v/>
      </c>
      <c r="R61" s="3" t="str">
        <f>IFERROR(SMALL(INOX[AUX2],INOX[[#This Row],[AUX1]]),"")</f>
        <v/>
      </c>
      <c r="S61" s="3"/>
    </row>
    <row r="62" spans="2:19" ht="20" customHeight="1" x14ac:dyDescent="0.25">
      <c r="B62" s="27">
        <v>6.35</v>
      </c>
      <c r="C62" s="22">
        <v>35</v>
      </c>
      <c r="D62" s="23">
        <v>10.65</v>
      </c>
      <c r="E62" s="90">
        <v>85</v>
      </c>
      <c r="F62" s="84"/>
      <c r="G62" s="3">
        <f>ROWS($B$26:CARBONO[[#This Row],[ESP]])</f>
        <v>37</v>
      </c>
      <c r="H62" s="3" t="str">
        <f>IF(CARBONO[[#This Row],[ESP]]=$D$3,CARBONO[[#This Row],[AUX1]],"")</f>
        <v/>
      </c>
      <c r="I62" s="3" t="str">
        <f>IFERROR(SMALL(CARBONO[AUX2],CARBONO[[#This Row],[AUX1]]),"")</f>
        <v/>
      </c>
      <c r="K62" s="27">
        <v>9.5</v>
      </c>
      <c r="L62" s="22">
        <v>50</v>
      </c>
      <c r="M62" s="23">
        <v>16.899999999999999</v>
      </c>
      <c r="N62" s="90">
        <v>252</v>
      </c>
      <c r="O62" s="84" t="s">
        <v>105</v>
      </c>
      <c r="P62" s="3">
        <f>ROWS($K$26:INOX[[#This Row],[ESP]])</f>
        <v>37</v>
      </c>
      <c r="Q62" s="3" t="str">
        <f>IF(INOX[[#This Row],[ESP]]=$D$3,INOX[[#This Row],[AUX1]],"")</f>
        <v/>
      </c>
      <c r="R62" s="3" t="str">
        <f>IFERROR(SMALL(INOX[AUX2],INOX[[#This Row],[AUX1]]),"")</f>
        <v/>
      </c>
    </row>
    <row r="63" spans="2:19" ht="20" customHeight="1" x14ac:dyDescent="0.25">
      <c r="B63" s="27">
        <v>6.35</v>
      </c>
      <c r="C63" s="22">
        <v>50</v>
      </c>
      <c r="D63" s="23">
        <v>11.7</v>
      </c>
      <c r="E63" s="90">
        <v>45</v>
      </c>
      <c r="F63" s="84" t="s">
        <v>32</v>
      </c>
      <c r="G63" s="3">
        <f>ROWS($B$26:CARBONO[[#This Row],[ESP]])</f>
        <v>38</v>
      </c>
      <c r="H63" s="3" t="str">
        <f>IF(CARBONO[[#This Row],[ESP]]=$D$3,CARBONO[[#This Row],[AUX1]],"")</f>
        <v/>
      </c>
      <c r="I63" s="3" t="str">
        <f>IFERROR(SMALL(CARBONO[AUX2],CARBONO[[#This Row],[AUX1]]),"")</f>
        <v/>
      </c>
      <c r="K63" s="27">
        <v>10</v>
      </c>
      <c r="L63" s="22">
        <v>50</v>
      </c>
      <c r="M63" s="23">
        <v>16.5</v>
      </c>
      <c r="N63" s="90">
        <v>252</v>
      </c>
      <c r="O63" s="84" t="s">
        <v>105</v>
      </c>
      <c r="P63" s="3">
        <f>ROWS($K$26:INOX[[#This Row],[ESP]])</f>
        <v>38</v>
      </c>
      <c r="Q63" s="3" t="str">
        <f>IF(INOX[[#This Row],[ESP]]=$D$3,INOX[[#This Row],[AUX1]],"")</f>
        <v/>
      </c>
      <c r="R63" s="3" t="str">
        <f>IFERROR(SMALL(INOX[AUX2],INOX[[#This Row],[AUX1]]),"")</f>
        <v/>
      </c>
    </row>
    <row r="64" spans="2:19" ht="20" customHeight="1" x14ac:dyDescent="0.25">
      <c r="B64" s="27">
        <v>7.9375</v>
      </c>
      <c r="C64" s="22">
        <v>35</v>
      </c>
      <c r="D64" s="23">
        <v>13</v>
      </c>
      <c r="E64" s="90" t="s">
        <v>104</v>
      </c>
      <c r="F64" s="84"/>
      <c r="G64" s="3">
        <f>ROWS($B$26:CARBONO[[#This Row],[ESP]])</f>
        <v>39</v>
      </c>
      <c r="H64" s="3" t="str">
        <f>IF(CARBONO[[#This Row],[ESP]]=$D$3,CARBONO[[#This Row],[AUX1]],"")</f>
        <v/>
      </c>
      <c r="I64" s="3" t="str">
        <f>IFERROR(SMALL(CARBONO[AUX2],CARBONO[[#This Row],[AUX1]]),"")</f>
        <v/>
      </c>
      <c r="K64" s="27">
        <v>10</v>
      </c>
      <c r="L64" s="22">
        <v>80</v>
      </c>
      <c r="M64" s="23">
        <v>21.1</v>
      </c>
      <c r="N64" s="90">
        <v>131</v>
      </c>
      <c r="O64" s="84"/>
      <c r="P64" s="3">
        <f>ROWS($K$26:INOX[[#This Row],[ESP]])</f>
        <v>39</v>
      </c>
      <c r="Q64" s="3" t="str">
        <f>IF(INOX[[#This Row],[ESP]]=$D$3,INOX[[#This Row],[AUX1]],"")</f>
        <v/>
      </c>
      <c r="R64" s="3" t="str">
        <f>IFERROR(SMALL(INOX[AUX2],INOX[[#This Row],[AUX1]]),"")</f>
        <v/>
      </c>
    </row>
    <row r="65" spans="2:23" ht="20" customHeight="1" x14ac:dyDescent="0.25">
      <c r="B65" s="27">
        <v>7.9375</v>
      </c>
      <c r="C65" s="22">
        <v>50</v>
      </c>
      <c r="D65" s="23">
        <v>14</v>
      </c>
      <c r="E65" s="90">
        <v>88</v>
      </c>
      <c r="F65" s="84" t="s">
        <v>116</v>
      </c>
      <c r="G65" s="3">
        <f>ROWS($B$26:CARBONO[[#This Row],[ESP]])</f>
        <v>40</v>
      </c>
      <c r="H65" s="3" t="str">
        <f>IF(CARBONO[[#This Row],[ESP]]=$D$3,CARBONO[[#This Row],[AUX1]],"")</f>
        <v/>
      </c>
      <c r="I65" s="3" t="str">
        <f>IFERROR(SMALL(CARBONO[AUX2],CARBONO[[#This Row],[AUX1]]),"")</f>
        <v/>
      </c>
      <c r="K65" s="27">
        <v>12.7</v>
      </c>
      <c r="L65" s="22">
        <v>50</v>
      </c>
      <c r="M65" s="23">
        <v>20.2</v>
      </c>
      <c r="N65" s="90" t="s">
        <v>104</v>
      </c>
      <c r="O65" s="84"/>
      <c r="P65" s="3">
        <f>ROWS($K$26:INOX[[#This Row],[ESP]])</f>
        <v>40</v>
      </c>
      <c r="Q65" s="3" t="str">
        <f>IF(INOX[[#This Row],[ESP]]=$D$3,INOX[[#This Row],[AUX1]],"")</f>
        <v/>
      </c>
      <c r="R65" s="3" t="str">
        <f>IFERROR(SMALL(INOX[AUX2],INOX[[#This Row],[AUX1]]),"")</f>
        <v/>
      </c>
    </row>
    <row r="66" spans="2:23" ht="20" customHeight="1" x14ac:dyDescent="0.25">
      <c r="B66" s="27">
        <v>7.9375</v>
      </c>
      <c r="C66" s="22">
        <v>55</v>
      </c>
      <c r="D66" s="23">
        <v>14.5</v>
      </c>
      <c r="E66" s="90" t="s">
        <v>104</v>
      </c>
      <c r="F66" s="84"/>
      <c r="G66" s="3">
        <f>ROWS($B$26:CARBONO[[#This Row],[ESP]])</f>
        <v>41</v>
      </c>
      <c r="H66" s="3" t="str">
        <f>IF(CARBONO[[#This Row],[ESP]]=$D$3,CARBONO[[#This Row],[AUX1]],"")</f>
        <v/>
      </c>
      <c r="I66" s="3" t="str">
        <f>IFERROR(SMALL(CARBONO[AUX2],CARBONO[[#This Row],[AUX1]]),"")</f>
        <v/>
      </c>
      <c r="K66" s="27">
        <v>12.7</v>
      </c>
      <c r="L66" s="22">
        <v>80</v>
      </c>
      <c r="M66" s="23">
        <v>24.5</v>
      </c>
      <c r="N66" s="90">
        <v>207</v>
      </c>
      <c r="O66" s="84"/>
      <c r="P66" s="3">
        <f>ROWS($K$26:INOX[[#This Row],[ESP]])</f>
        <v>41</v>
      </c>
      <c r="Q66" s="3" t="str">
        <f>IF(INOX[[#This Row],[ESP]]=$D$3,INOX[[#This Row],[AUX1]],"")</f>
        <v/>
      </c>
      <c r="R66" s="3" t="str">
        <f>IFERROR(SMALL(INOX[AUX2],INOX[[#This Row],[AUX1]]),"")</f>
        <v/>
      </c>
    </row>
    <row r="67" spans="2:23" ht="20" customHeight="1" x14ac:dyDescent="0.25">
      <c r="B67" s="27">
        <v>7.9375</v>
      </c>
      <c r="C67" s="22">
        <v>80</v>
      </c>
      <c r="D67" s="23">
        <v>15.4</v>
      </c>
      <c r="E67" s="90">
        <v>46</v>
      </c>
      <c r="F67" s="84" t="s">
        <v>32</v>
      </c>
      <c r="G67" s="3">
        <f>ROWS($B$26:CARBONO[[#This Row],[ESP]])</f>
        <v>42</v>
      </c>
      <c r="H67" s="3" t="str">
        <f>IF(CARBONO[[#This Row],[ESP]]=$D$3,CARBONO[[#This Row],[AUX1]],"")</f>
        <v/>
      </c>
      <c r="I67" s="3" t="str">
        <f>IFERROR(SMALL(CARBONO[AUX2],CARBONO[[#This Row],[AUX1]]),"")</f>
        <v/>
      </c>
      <c r="K67" s="27">
        <v>16</v>
      </c>
      <c r="L67" s="22">
        <v>80</v>
      </c>
      <c r="M67" s="23">
        <v>28.25</v>
      </c>
      <c r="N67" s="90">
        <v>354</v>
      </c>
      <c r="O67" s="84" t="s">
        <v>112</v>
      </c>
      <c r="P67" s="3">
        <f>ROWS($K$26:INOX[[#This Row],[ESP]])</f>
        <v>42</v>
      </c>
      <c r="Q67" s="3" t="str">
        <f>IF(INOX[[#This Row],[ESP]]=$D$3,INOX[[#This Row],[AUX1]],"")</f>
        <v/>
      </c>
      <c r="R67" s="3" t="str">
        <f>IFERROR(SMALL(INOX[AUX2],INOX[[#This Row],[AUX1]]),"")</f>
        <v/>
      </c>
    </row>
    <row r="68" spans="2:23" ht="20" customHeight="1" x14ac:dyDescent="0.25">
      <c r="B68" s="27">
        <v>9.5250000000000004</v>
      </c>
      <c r="C68" s="22">
        <v>35</v>
      </c>
      <c r="D68" s="23">
        <v>14.8</v>
      </c>
      <c r="E68" s="90" t="s">
        <v>104</v>
      </c>
      <c r="F68" s="84" t="s">
        <v>95</v>
      </c>
      <c r="G68" s="3">
        <f>ROWS($B$26:CARBONO[[#This Row],[ESP]])</f>
        <v>43</v>
      </c>
      <c r="H68" s="3" t="str">
        <f>IF(CARBONO[[#This Row],[ESP]]=$D$3,CARBONO[[#This Row],[AUX1]],"")</f>
        <v/>
      </c>
      <c r="I68" s="3" t="str">
        <f>IFERROR(SMALL(CARBONO[AUX2],CARBONO[[#This Row],[AUX1]]),"")</f>
        <v/>
      </c>
    </row>
    <row r="69" spans="2:23" ht="20" customHeight="1" x14ac:dyDescent="0.25">
      <c r="B69" s="27">
        <v>9.5250000000000004</v>
      </c>
      <c r="C69" s="22">
        <v>50</v>
      </c>
      <c r="D69" s="23">
        <v>16</v>
      </c>
      <c r="E69" s="90">
        <v>151</v>
      </c>
      <c r="F69" s="84"/>
      <c r="G69" s="3">
        <f>ROWS($B$26:CARBONO[[#This Row],[ESP]])</f>
        <v>44</v>
      </c>
      <c r="H69" s="3" t="str">
        <f>IF(CARBONO[[#This Row],[ESP]]=$D$3,CARBONO[[#This Row],[AUX1]],"")</f>
        <v/>
      </c>
      <c r="I69" s="3" t="str">
        <f>IFERROR(SMALL(CARBONO[AUX2],CARBONO[[#This Row],[AUX1]]),"")</f>
        <v/>
      </c>
      <c r="R69" s="21"/>
      <c r="U69" s="44"/>
      <c r="V69" s="22"/>
      <c r="W69" s="23"/>
    </row>
    <row r="70" spans="2:23" ht="20" customHeight="1" x14ac:dyDescent="0.25">
      <c r="B70" s="27">
        <v>9.5250000000000004</v>
      </c>
      <c r="C70" s="22">
        <v>80</v>
      </c>
      <c r="D70" s="23">
        <v>17.5</v>
      </c>
      <c r="E70" s="90">
        <v>79</v>
      </c>
      <c r="F70" s="84" t="s">
        <v>32</v>
      </c>
      <c r="G70" s="3">
        <f>ROWS($B$26:CARBONO[[#This Row],[ESP]])</f>
        <v>45</v>
      </c>
      <c r="H70" s="3" t="str">
        <f>IF(CARBONO[[#This Row],[ESP]]=$D$3,CARBONO[[#This Row],[AUX1]],"")</f>
        <v/>
      </c>
      <c r="I70" s="3" t="str">
        <f>IFERROR(SMALL(CARBONO[AUX2],CARBONO[[#This Row],[AUX1]]),"")</f>
        <v/>
      </c>
      <c r="R70" s="22"/>
    </row>
    <row r="71" spans="2:23" ht="20" customHeight="1" x14ac:dyDescent="0.25">
      <c r="B71" s="27">
        <v>12.7</v>
      </c>
      <c r="C71" s="22">
        <v>55</v>
      </c>
      <c r="D71" s="23">
        <v>20.5</v>
      </c>
      <c r="E71" s="90" t="s">
        <v>104</v>
      </c>
      <c r="F71" s="84"/>
      <c r="G71" s="3">
        <f>ROWS($B$26:CARBONO[[#This Row],[ESP]])</f>
        <v>46</v>
      </c>
      <c r="H71" s="3" t="str">
        <f>IF(CARBONO[[#This Row],[ESP]]=$D$3,CARBONO[[#This Row],[AUX1]],"")</f>
        <v/>
      </c>
      <c r="I71" s="3" t="str">
        <f>IFERROR(SMALL(CARBONO[AUX2],CARBONO[[#This Row],[AUX1]]),"")</f>
        <v/>
      </c>
      <c r="R71" s="22"/>
    </row>
    <row r="72" spans="2:23" ht="20" customHeight="1" x14ac:dyDescent="0.25">
      <c r="B72" s="27">
        <v>12.7</v>
      </c>
      <c r="C72" s="22">
        <v>80</v>
      </c>
      <c r="D72" s="23">
        <v>22.5</v>
      </c>
      <c r="E72" s="90">
        <v>124</v>
      </c>
      <c r="F72" s="84" t="s">
        <v>32</v>
      </c>
      <c r="G72" s="3">
        <f>ROWS($B$26:CARBONO[[#This Row],[ESP]])</f>
        <v>47</v>
      </c>
      <c r="H72" s="3" t="str">
        <f>IF(CARBONO[[#This Row],[ESP]]=$D$3,CARBONO[[#This Row],[AUX1]],"")</f>
        <v/>
      </c>
      <c r="I72" s="3" t="str">
        <f>IFERROR(SMALL(CARBONO[AUX2],CARBONO[[#This Row],[AUX1]]),"")</f>
        <v/>
      </c>
      <c r="R72" s="22"/>
    </row>
    <row r="73" spans="2:23" ht="20" customHeight="1" thickBot="1" x14ac:dyDescent="0.3">
      <c r="B73" s="27">
        <v>15.85</v>
      </c>
      <c r="C73" s="22">
        <v>80</v>
      </c>
      <c r="D73" s="23">
        <v>28.15</v>
      </c>
      <c r="E73" s="90">
        <v>213</v>
      </c>
      <c r="F73" s="84" t="s">
        <v>32</v>
      </c>
      <c r="G73" s="76">
        <f>ROWS($B$26:CARBONO[[#This Row],[ESP]])</f>
        <v>48</v>
      </c>
      <c r="H73" s="3" t="str">
        <f>IF(CARBONO[[#This Row],[ESP]]=$D$3,CARBONO[[#This Row],[AUX1]],"")</f>
        <v/>
      </c>
      <c r="I73" s="3" t="str">
        <f>IFERROR(SMALL(CARBONO[AUX2],CARBONO[[#This Row],[AUX1]]),"")</f>
        <v/>
      </c>
      <c r="R73" s="22"/>
    </row>
    <row r="74" spans="2:23" ht="20" customHeight="1" x14ac:dyDescent="0.25">
      <c r="R74" s="22"/>
    </row>
    <row r="75" spans="2:23" ht="20" customHeight="1" x14ac:dyDescent="0.25">
      <c r="R75" s="22"/>
    </row>
    <row r="76" spans="2:23" ht="20" customHeight="1" x14ac:dyDescent="0.25">
      <c r="R76" s="22"/>
    </row>
    <row r="77" spans="2:23" ht="20" customHeight="1" x14ac:dyDescent="0.25">
      <c r="R77" s="22"/>
    </row>
    <row r="78" spans="2:23" ht="20" customHeight="1" x14ac:dyDescent="0.25">
      <c r="R78" s="22"/>
    </row>
    <row r="79" spans="2:23" ht="30" customHeight="1" x14ac:dyDescent="0.25"/>
    <row r="83" spans="6:14" ht="20" customHeight="1" x14ac:dyDescent="0.25">
      <c r="K83" s="44"/>
      <c r="L83" s="22"/>
      <c r="M83" s="23"/>
      <c r="N83" s="22"/>
    </row>
    <row r="84" spans="6:14" ht="20" customHeight="1" x14ac:dyDescent="0.25">
      <c r="K84" s="44"/>
      <c r="L84" s="22"/>
      <c r="M84" s="23"/>
      <c r="N84" s="22"/>
    </row>
    <row r="85" spans="6:14" ht="20" customHeight="1" x14ac:dyDescent="0.25">
      <c r="K85" s="44"/>
      <c r="L85" s="22"/>
      <c r="M85" s="23"/>
      <c r="N85" s="22"/>
    </row>
    <row r="86" spans="6:14" ht="20" customHeight="1" x14ac:dyDescent="0.25">
      <c r="F86" s="5"/>
      <c r="K86" s="44"/>
      <c r="L86" s="22"/>
      <c r="M86" s="23"/>
      <c r="N86" s="22"/>
    </row>
    <row r="87" spans="6:14" ht="20" customHeight="1" x14ac:dyDescent="0.25">
      <c r="K87" s="44"/>
      <c r="L87" s="22"/>
      <c r="M87" s="23"/>
      <c r="N87" s="22"/>
    </row>
    <row r="88" spans="6:14" ht="20" customHeight="1" x14ac:dyDescent="0.25">
      <c r="K88" s="44"/>
      <c r="L88" s="22"/>
      <c r="M88" s="23"/>
      <c r="N88" s="22"/>
    </row>
  </sheetData>
  <protectedRanges>
    <protectedRange sqref="D3:E3 F3:F4 D6 M3:N3 C12:D21 L12:M21 U12:V21" name="campo_edit"/>
  </protectedRanges>
  <sortState xmlns:xlrd2="http://schemas.microsoft.com/office/spreadsheetml/2017/richdata2" ref="AB7:AB26">
    <sortCondition ref="AB7"/>
  </sortState>
  <dataConsolidate/>
  <customSheetViews>
    <customSheetView guid="{EF75DF0C-4CDD-487C-B839-63FD0E393925}" fitToPage="1">
      <selection activeCell="H12" sqref="H12"/>
      <pageMargins left="0.78740157499999996" right="0.78740157499999996" top="0.984251969" bottom="0.984251969" header="0.49212598499999999" footer="0.49212598499999999"/>
      <pageSetup paperSize="9" scale="29" orientation="portrait" horizontalDpi="300" verticalDpi="300" r:id="rId1"/>
      <headerFooter alignWithMargins="0"/>
    </customSheetView>
    <customSheetView guid="{9D21F9A8-80D6-4757-BFEC-7BFBDB7B5700}" scale="130" fitToPage="1">
      <selection activeCell="I18" sqref="I18"/>
      <pageMargins left="0.78740157499999996" right="0.78740157499999996" top="0.984251969" bottom="0.984251969" header="0.49212598499999999" footer="0.49212598499999999"/>
      <pageSetup paperSize="9" scale="29" orientation="portrait" horizontalDpi="300" verticalDpi="300" r:id="rId2"/>
      <headerFooter alignWithMargins="0"/>
    </customSheetView>
    <customSheetView guid="{3488FB33-7AC9-4053-8220-E2A3D9AB06B0}" scale="130" showPageBreaks="1" fitToPage="1" topLeftCell="C36">
      <selection activeCell="J59" sqref="J59"/>
      <pageMargins left="0.78740157499999996" right="0.78740157499999996" top="0.984251969" bottom="0.984251969" header="0.49212598499999999" footer="0.49212598499999999"/>
      <pageSetup paperSize="9" scale="30" orientation="portrait" horizontalDpi="300" verticalDpi="300" r:id="rId3"/>
      <headerFooter alignWithMargins="0"/>
    </customSheetView>
    <customSheetView guid="{E1103BEE-DE9F-489B-88DE-B6C0FEFF837D}" scale="130" showPageBreaks="1" fitToPage="1" topLeftCell="A31">
      <selection activeCell="F39" sqref="F39"/>
      <pageMargins left="0.78740157499999996" right="0.78740157499999996" top="0.984251969" bottom="0.984251969" header="0.49212598499999999" footer="0.49212598499999999"/>
      <pageSetup paperSize="9" scale="30" orientation="portrait" horizontalDpi="300" verticalDpi="300" r:id="rId4"/>
      <headerFooter alignWithMargins="0"/>
    </customSheetView>
    <customSheetView guid="{90A17AC3-80D0-4F8D-BDFF-83D66DE35498}" scale="130" fitToPage="1">
      <selection activeCell="L22" sqref="L22"/>
      <pageMargins left="0.78740157499999996" right="0.78740157499999996" top="0.984251969" bottom="0.984251969" header="0.49212598499999999" footer="0.49212598499999999"/>
      <pageSetup paperSize="9" scale="30" orientation="portrait" horizontalDpi="300" verticalDpi="300" r:id="rId5"/>
      <headerFooter alignWithMargins="0"/>
    </customSheetView>
    <customSheetView guid="{00BE9425-107A-4187-BF28-D65C3F9205F1}" scale="130" showPageBreaks="1" fitToPage="1" printArea="1">
      <selection activeCell="C7" sqref="C7"/>
      <pageMargins left="0.78740157499999996" right="0.78740157499999996" top="0.984251969" bottom="0.984251969" header="0.49212598499999999" footer="0.49212598499999999"/>
      <pageSetup paperSize="9" orientation="portrait" horizontalDpi="300" verticalDpi="300" r:id="rId6"/>
      <headerFooter alignWithMargins="0"/>
    </customSheetView>
    <customSheetView guid="{DF07270F-9CD0-472A-9B32-FD7DD7622659}" scale="83" fitToPage="1">
      <selection activeCell="K15" sqref="K15"/>
      <pageMargins left="0.78740157499999996" right="0.78740157499999996" top="0.984251969" bottom="0.984251969" header="0.49212598499999999" footer="0.49212598499999999"/>
      <pageSetup paperSize="9" scale="27" orientation="portrait" horizontalDpi="300" verticalDpi="300" r:id="rId7"/>
      <headerFooter alignWithMargins="0"/>
    </customSheetView>
  </customSheetViews>
  <mergeCells count="49">
    <mergeCell ref="C11:D11"/>
    <mergeCell ref="C12:D12"/>
    <mergeCell ref="C13:D13"/>
    <mergeCell ref="AB24:AE24"/>
    <mergeCell ref="AJ24:AM24"/>
    <mergeCell ref="C14:D14"/>
    <mergeCell ref="C15:D15"/>
    <mergeCell ref="C16:D16"/>
    <mergeCell ref="AO24:AR24"/>
    <mergeCell ref="C17:D17"/>
    <mergeCell ref="C18:D18"/>
    <mergeCell ref="C19:D19"/>
    <mergeCell ref="C20:D20"/>
    <mergeCell ref="L18:M18"/>
    <mergeCell ref="L19:M19"/>
    <mergeCell ref="L20:M20"/>
    <mergeCell ref="B24:F24"/>
    <mergeCell ref="K24:O24"/>
    <mergeCell ref="T24:W24"/>
    <mergeCell ref="C21:D21"/>
    <mergeCell ref="C22:D22"/>
    <mergeCell ref="T10:W10"/>
    <mergeCell ref="L21:M21"/>
    <mergeCell ref="L11:M11"/>
    <mergeCell ref="L22:M22"/>
    <mergeCell ref="K10:O10"/>
    <mergeCell ref="L12:M12"/>
    <mergeCell ref="L13:M13"/>
    <mergeCell ref="L14:M14"/>
    <mergeCell ref="L15:M15"/>
    <mergeCell ref="L16:M16"/>
    <mergeCell ref="L17:M17"/>
    <mergeCell ref="T2:W3"/>
    <mergeCell ref="K2:N2"/>
    <mergeCell ref="K3:L3"/>
    <mergeCell ref="M3:N3"/>
    <mergeCell ref="T6:W7"/>
    <mergeCell ref="L6:M6"/>
    <mergeCell ref="L7:M7"/>
    <mergeCell ref="M4:N4"/>
    <mergeCell ref="K4:L4"/>
    <mergeCell ref="T4:W5"/>
    <mergeCell ref="D4:D5"/>
    <mergeCell ref="B10:F10"/>
    <mergeCell ref="B2:C3"/>
    <mergeCell ref="B4:C5"/>
    <mergeCell ref="B6:C6"/>
    <mergeCell ref="D7:F8"/>
    <mergeCell ref="B7:C8"/>
  </mergeCells>
  <phoneticPr fontId="0" type="noConversion"/>
  <conditionalFormatting sqref="C16">
    <cfRule type="expression" dxfId="104" priority="1">
      <formula>$C$16&gt;20</formula>
    </cfRule>
  </conditionalFormatting>
  <conditionalFormatting sqref="C12">
    <cfRule type="expression" dxfId="103" priority="2">
      <formula>$C$12&gt;20</formula>
    </cfRule>
  </conditionalFormatting>
  <dataValidations count="3">
    <dataValidation type="list" allowBlank="1" showInputMessage="1" promptTitle="ESPESSURA" sqref="D3" xr:uid="{00000000-0002-0000-0000-000000000000}">
      <formula1>CONDICAO_MATERIAL</formula1>
    </dataValidation>
    <dataValidation type="list" allowBlank="1" showInputMessage="1" showErrorMessage="1" sqref="E3" xr:uid="{00000000-0002-0000-0000-000001000000}">
      <formula1>CONDICAO_CANAL</formula1>
    </dataValidation>
    <dataValidation type="list" allowBlank="1" showInputMessage="1" showErrorMessage="1" sqref="F3" xr:uid="{00000000-0002-0000-0000-000002000000}">
      <formula1>LISTA_MATERIAL</formula1>
    </dataValidation>
  </dataValidations>
  <pageMargins left="0.78740157480314965" right="0.78740157480314965" top="0.98425196850393704" bottom="0.98425196850393704" header="0.51181102362204722" footer="0.51181102362204722"/>
  <pageSetup paperSize="9" scale="23" orientation="portrait" horizontalDpi="300" verticalDpi="300" r:id="rId8"/>
  <headerFooter alignWithMargins="0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limpar_tudo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limpar_dobra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6">
    <tablePart r:id="rId13"/>
    <tablePart r:id="rId14"/>
    <tablePart r:id="rId15"/>
    <tablePart r:id="rId16"/>
    <tablePart r:id="rId17"/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N71"/>
  <sheetViews>
    <sheetView zoomScaleNormal="100" zoomScaleSheetLayoutView="100" workbookViewId="0">
      <selection activeCell="G10" sqref="G10"/>
    </sheetView>
  </sheetViews>
  <sheetFormatPr defaultRowHeight="15.5" x14ac:dyDescent="0.35"/>
  <cols>
    <col min="1" max="1" width="2.6328125" customWidth="1"/>
    <col min="2" max="5" width="12.6328125" style="3" customWidth="1"/>
    <col min="6" max="6" width="1.6328125" style="3" customWidth="1"/>
    <col min="7" max="7" width="12.6328125" style="3" customWidth="1"/>
    <col min="8" max="10" width="12.6328125" style="4" customWidth="1"/>
    <col min="11" max="11" width="1.6328125" style="3" customWidth="1"/>
    <col min="12" max="12" width="12.6328125" style="5" customWidth="1"/>
  </cols>
  <sheetData>
    <row r="1" spans="2:14" ht="15" customHeight="1" x14ac:dyDescent="0.35"/>
    <row r="2" spans="2:14" ht="20" customHeight="1" thickBot="1" x14ac:dyDescent="0.3">
      <c r="B2" s="19" t="s">
        <v>24</v>
      </c>
      <c r="C2" s="19" t="s">
        <v>29</v>
      </c>
      <c r="D2" s="19" t="s">
        <v>25</v>
      </c>
      <c r="E2" s="19" t="s">
        <v>52</v>
      </c>
      <c r="F2" s="7"/>
      <c r="G2" s="19" t="s">
        <v>26</v>
      </c>
      <c r="H2" s="19" t="s">
        <v>27</v>
      </c>
      <c r="I2" s="19" t="s">
        <v>28</v>
      </c>
      <c r="J2" s="19" t="s">
        <v>51</v>
      </c>
      <c r="L2" s="19" t="s">
        <v>31</v>
      </c>
    </row>
    <row r="3" spans="2:14" ht="20" customHeight="1" thickTop="1" x14ac:dyDescent="0.25">
      <c r="B3" s="53">
        <f>IFERROR(INDEX(CARBONO[ESP],MATCH(0,INDEX(COUNTIF($B$2:B2,CARBONO[ESP]),),)),"")</f>
        <v>0.5</v>
      </c>
      <c r="C3" s="53">
        <f>IFERROR(INDEX(INOX[ESP],MATCH(0,INDEX(COUNTIF($C$2:C2,INOX[ESP]),),)),"")</f>
        <v>0.5</v>
      </c>
      <c r="D3" s="53">
        <f>IFERROR(INDEX(AL_5052[ESP],MATCH(0,INDEX(COUNTIF($D$2:D2,AL_5052[ESP]),),)),"")</f>
        <v>1.5</v>
      </c>
      <c r="E3" s="53">
        <f>IFERROR(INDEX(AL_H14[ESP],MATCH(0,INDEX(COUNTIF($E$2:E2,AL_H14[ESP]),),)),"")</f>
        <v>1</v>
      </c>
      <c r="F3" s="54"/>
      <c r="G3" s="55" t="str">
        <f>IF(MATERIAL="CARBONO",IFERROR(INDEX(CARBONO[CANAL],Cálculos!$I26,COLUMNS($G$3:G3))," ")," ")</f>
        <v xml:space="preserve"> </v>
      </c>
      <c r="H3" s="55" t="str">
        <f>IF(MATERIAL="INOX",IFERROR(INDEX(INOX[CANAL],Cálculos!$R26,COLUMNS($H$3:H3))," ")," ")</f>
        <v xml:space="preserve"> </v>
      </c>
      <c r="I3" s="55" t="str">
        <f>IF(MATERIAL="A5052",IFERROR(INDEX(AL_5052[CANAL],Cálculos!$AH26,COLUMNS($I$3:I3))," ")," ")</f>
        <v xml:space="preserve"> </v>
      </c>
      <c r="J3" s="55" t="str">
        <f>IF(MATERIAL="H14",IFERROR(INDEX(AL_H14[CANAL],Cálculos!$Z26,COLUMNS($J$3:J3))," ")," ")</f>
        <v xml:space="preserve"> </v>
      </c>
      <c r="L3" s="56" t="s">
        <v>1</v>
      </c>
    </row>
    <row r="4" spans="2:14" ht="20" customHeight="1" x14ac:dyDescent="0.25">
      <c r="B4" s="53">
        <f>IFERROR(INDEX(CARBONO[ESP],MATCH(0,INDEX(COUNTIF($B$2:B3,CARBONO[ESP]),),)),"")</f>
        <v>0.8</v>
      </c>
      <c r="C4" s="53">
        <f>IFERROR(INDEX(INOX[ESP],MATCH(0,INDEX(COUNTIF($C$2:C3,INOX[ESP]),),)),"")</f>
        <v>0.8</v>
      </c>
      <c r="D4" s="53">
        <f>IFERROR(INDEX(AL_5052[ESP],MATCH(0,INDEX(COUNTIF($D$2:D3,AL_5052[ESP]),),)),"")</f>
        <v>2</v>
      </c>
      <c r="E4" s="53">
        <f>IFERROR(INDEX(AL_H14[ESP],MATCH(0,INDEX(COUNTIF($E$2:E3,AL_H14[ESP]),),)),"")</f>
        <v>1.5</v>
      </c>
      <c r="F4" s="54"/>
      <c r="G4" s="55" t="str">
        <f>IF(MATERIAL="CARBONO",IFERROR(INDEX(CARBONO[CANAL],Cálculos!$I27,COLUMNS($G$3:G4))," ")," ")</f>
        <v xml:space="preserve"> </v>
      </c>
      <c r="H4" s="55" t="str">
        <f>IF(MATERIAL="INOX",IFERROR(INDEX(INOX[CANAL],Cálculos!$R27,COLUMNS($H$3:H4))," ")," ")</f>
        <v xml:space="preserve"> </v>
      </c>
      <c r="I4" s="55" t="str">
        <f>IF(MATERIAL="A5052",IFERROR(INDEX(AL_5052[CANAL],Cálculos!$AH27,COLUMNS($I$3:I4))," ")," ")</f>
        <v xml:space="preserve"> </v>
      </c>
      <c r="J4" s="55" t="str">
        <f>IF(MATERIAL="H14",IFERROR(INDEX(AL_H14[CANAL],Cálculos!$Z27,COLUMNS($J$3:J4))," ")," ")</f>
        <v xml:space="preserve"> </v>
      </c>
      <c r="L4" s="57" t="s">
        <v>2</v>
      </c>
    </row>
    <row r="5" spans="2:14" ht="20" customHeight="1" x14ac:dyDescent="0.25">
      <c r="B5" s="53">
        <f>IFERROR(INDEX(CARBONO[ESP],MATCH(0,INDEX(COUNTIF($B$2:B4,CARBONO[ESP]),),)),"")</f>
        <v>1</v>
      </c>
      <c r="C5" s="53">
        <f>IFERROR(INDEX(INOX[ESP],MATCH(0,INDEX(COUNTIF($C$2:C4,INOX[ESP]),),)),"")</f>
        <v>1</v>
      </c>
      <c r="D5" s="53">
        <f>IFERROR(INDEX(AL_5052[ESP],MATCH(0,INDEX(COUNTIF($D$2:D4,AL_5052[ESP]),),)),"")</f>
        <v>3</v>
      </c>
      <c r="E5" s="53">
        <f>IFERROR(INDEX(AL_H14[ESP],MATCH(0,INDEX(COUNTIF($E$2:E4,AL_H14[ESP]),),)),"")</f>
        <v>2</v>
      </c>
      <c r="F5" s="54"/>
      <c r="G5" s="55" t="str">
        <f>IF(MATERIAL="CARBONO",IFERROR(INDEX(CARBONO[CANAL],Cálculos!$I28,COLUMNS($G$3:G5))," ")," ")</f>
        <v xml:space="preserve"> </v>
      </c>
      <c r="H5" s="55" t="str">
        <f>IF(MATERIAL="INOX",IFERROR(INDEX(INOX[CANAL],Cálculos!$R28,COLUMNS($H$3:H5))," ")," ")</f>
        <v xml:space="preserve"> </v>
      </c>
      <c r="I5" s="55" t="str">
        <f>IF(MATERIAL="A5052",IFERROR(INDEX(AL_5052[CANAL],Cálculos!$AH28,COLUMNS($I$3:I5))," ")," ")</f>
        <v xml:space="preserve"> </v>
      </c>
      <c r="J5" s="55" t="str">
        <f>IF(MATERIAL="H14",IFERROR(INDEX(AL_H14[CANAL],Cálculos!$Z28,COLUMNS($J$3:J5))," ")," ")</f>
        <v xml:space="preserve"> </v>
      </c>
      <c r="L5" s="57" t="s">
        <v>4</v>
      </c>
    </row>
    <row r="6" spans="2:14" ht="20" customHeight="1" x14ac:dyDescent="0.25">
      <c r="B6" s="53">
        <f>IFERROR(INDEX(CARBONO[ESP],MATCH(0,INDEX(COUNTIF($B$2:B5,CARBONO[ESP]),),)),"")</f>
        <v>1.2</v>
      </c>
      <c r="C6" s="53">
        <f>IFERROR(INDEX(INOX[ESP],MATCH(0,INDEX(COUNTIF($C$2:C5,INOX[ESP]),),)),"")</f>
        <v>1.2</v>
      </c>
      <c r="D6" s="53">
        <f>IFERROR(INDEX(AL_5052[ESP],MATCH(0,INDEX(COUNTIF($D$2:D5,AL_5052[ESP]),),)),"")</f>
        <v>5</v>
      </c>
      <c r="E6" s="53">
        <f>IFERROR(INDEX(AL_H14[ESP],MATCH(0,INDEX(COUNTIF($E$2:E5,AL_H14[ESP]),),)),"")</f>
        <v>2.5</v>
      </c>
      <c r="F6" s="54"/>
      <c r="G6" s="55" t="str">
        <f>IF(MATERIAL="CARBONO",IFERROR(INDEX(CARBONO[CANAL],Cálculos!$I29,COLUMNS($G$3:G6))," ")," ")</f>
        <v xml:space="preserve"> </v>
      </c>
      <c r="H6" s="55" t="str">
        <f>IF(MATERIAL="INOX",IFERROR(INDEX(INOX[CANAL],Cálculos!$R29,COLUMNS($H$3:H6))," ")," ")</f>
        <v xml:space="preserve"> </v>
      </c>
      <c r="I6" s="55" t="str">
        <f>IF(MATERIAL="A5052",IFERROR(INDEX(AL_5052[CANAL],Cálculos!$AH29,COLUMNS($I$3:I6))," ")," ")</f>
        <v xml:space="preserve"> </v>
      </c>
      <c r="J6" s="55" t="str">
        <f>IF(MATERIAL="H14",IFERROR(INDEX(AL_H14[CANAL],Cálculos!$Z29,COLUMNS($J$3:J6))," ")," ")</f>
        <v xml:space="preserve"> </v>
      </c>
      <c r="L6" s="57" t="s">
        <v>50</v>
      </c>
    </row>
    <row r="7" spans="2:14" ht="20" customHeight="1" x14ac:dyDescent="0.25">
      <c r="B7" s="53">
        <f>IFERROR(INDEX(CARBONO[ESP],MATCH(0,INDEX(COUNTIF($B$2:B6,CARBONO[ESP]),),)),"")</f>
        <v>1.5</v>
      </c>
      <c r="C7" s="53">
        <f>IFERROR(INDEX(INOX[ESP],MATCH(0,INDEX(COUNTIF($C$2:C6,INOX[ESP]),),)),"")</f>
        <v>1.5</v>
      </c>
      <c r="D7" s="53">
        <f>IFERROR(INDEX(AL_5052[ESP],MATCH(0,INDEX(COUNTIF($D$2:D6,AL_5052[ESP]),),)),"")</f>
        <v>6</v>
      </c>
      <c r="E7" s="53">
        <f>IFERROR(INDEX(AL_H14[ESP],MATCH(0,INDEX(COUNTIF($E$2:E6,AL_H14[ESP]),),)),"")</f>
        <v>3</v>
      </c>
      <c r="F7" s="54"/>
      <c r="G7" s="55" t="str">
        <f>IF(MATERIAL="CARBONO",IFERROR(INDEX(CARBONO[CANAL],Cálculos!$I30,COLUMNS($G$3:G7))," ")," ")</f>
        <v xml:space="preserve"> </v>
      </c>
      <c r="H7" s="55" t="str">
        <f>IF(MATERIAL="INOX",IFERROR(INDEX(INOX[CANAL],Cálculos!$R30,COLUMNS($H$3:H7))," ")," ")</f>
        <v xml:space="preserve"> </v>
      </c>
      <c r="I7" s="55" t="str">
        <f>IF(MATERIAL="A5052",IFERROR(INDEX(AL_5052[CANAL],Cálculos!$AH30,COLUMNS($I$3:I7))," ")," ")</f>
        <v xml:space="preserve"> </v>
      </c>
      <c r="J7" s="55" t="str">
        <f>IF(MATERIAL="H14",IFERROR(INDEX(AL_H14[CANAL],Cálculos!$Z30,COLUMNS($J$3:J7))," ")," ")</f>
        <v xml:space="preserve"> </v>
      </c>
    </row>
    <row r="8" spans="2:14" ht="20" customHeight="1" x14ac:dyDescent="0.25">
      <c r="B8" s="53">
        <f>IFERROR(INDEX(CARBONO[ESP],MATCH(0,INDEX(COUNTIF($B$2:B7,CARBONO[ESP]),),)),"")</f>
        <v>2</v>
      </c>
      <c r="C8" s="53">
        <f>IFERROR(INDEX(INOX[ESP],MATCH(0,INDEX(COUNTIF($C$2:C7,INOX[ESP]),),)),"")</f>
        <v>2</v>
      </c>
      <c r="D8" s="53" t="str">
        <f>IFERROR(INDEX(AL_5052[ESP],MATCH(0,INDEX(COUNTIF($D$2:D7,AL_5052[ESP]),),)),"")</f>
        <v/>
      </c>
      <c r="E8" s="53">
        <f>IFERROR(INDEX(AL_H14[ESP],MATCH(0,INDEX(COUNTIF($E$2:E7,AL_H14[ESP]),),)),"")</f>
        <v>4</v>
      </c>
      <c r="F8" s="54"/>
      <c r="G8" s="55" t="str">
        <f>IF(MATERIAL="CARBONO",IFERROR(INDEX(CARBONO[CANAL],Cálculos!$I31,COLUMNS($G$3:G8))," ")," ")</f>
        <v xml:space="preserve"> </v>
      </c>
      <c r="H8" s="55" t="str">
        <f>IF(MATERIAL="INOX",IFERROR(INDEX(INOX[CANAL],Cálculos!$R31,COLUMNS($H$3:H8))," ")," ")</f>
        <v xml:space="preserve"> </v>
      </c>
      <c r="I8" s="55" t="str">
        <f>IF(MATERIAL="A5052",IFERROR(INDEX(AL_5052[CANAL],Cálculos!$AH31,COLUMNS($I$3:I8))," ")," ")</f>
        <v xml:space="preserve"> </v>
      </c>
      <c r="J8" s="55" t="str">
        <f>IF(MATERIAL="H14",IFERROR(INDEX(AL_H14[CANAL],Cálculos!$Z31,COLUMNS($J$3:J8))," ")," ")</f>
        <v xml:space="preserve"> </v>
      </c>
    </row>
    <row r="9" spans="2:14" ht="20" customHeight="1" x14ac:dyDescent="0.25">
      <c r="B9" s="53">
        <f>IFERROR(INDEX(CARBONO[ESP],MATCH(0,INDEX(COUNTIF($B$2:B8,CARBONO[ESP]),),)),"")</f>
        <v>2.65</v>
      </c>
      <c r="C9" s="53">
        <f>IFERROR(INDEX(INOX[ESP],MATCH(0,INDEX(COUNTIF($C$2:C8,INOX[ESP]),),)),"")</f>
        <v>2.5</v>
      </c>
      <c r="D9" s="53" t="str">
        <f>IFERROR(INDEX(AL_5052[ESP],MATCH(0,INDEX(COUNTIF($D$2:D8,AL_5052[ESP]),),)),"")</f>
        <v/>
      </c>
      <c r="E9" s="53">
        <f>IFERROR(INDEX(AL_H14[ESP],MATCH(0,INDEX(COUNTIF($E$2:E8,AL_H14[ESP]),),)),"")</f>
        <v>6</v>
      </c>
      <c r="F9" s="54"/>
      <c r="G9" s="55" t="str">
        <f>IF(MATERIAL="CARBONO",IFERROR(INDEX(CARBONO[CANAL],Cálculos!$I32,COLUMNS($G$3:G9))," ")," ")</f>
        <v xml:space="preserve"> </v>
      </c>
      <c r="H9" s="55" t="str">
        <f>IF(MATERIAL="INOX",IFERROR(INDEX(INOX[CANAL],Cálculos!$R32,COLUMNS($H$3:H9))," ")," ")</f>
        <v xml:space="preserve"> </v>
      </c>
      <c r="I9" s="55" t="str">
        <f>IF(MATERIAL="A5052",IFERROR(INDEX(AL_5052[CANAL],Cálculos!$AH32,COLUMNS($I$3:I9))," ")," ")</f>
        <v xml:space="preserve"> </v>
      </c>
      <c r="J9" s="55" t="str">
        <f>IF(MATERIAL="H14",IFERROR(INDEX(AL_H14[CANAL],Cálculos!$Z32,COLUMNS($J$3:J9))," ")," ")</f>
        <v xml:space="preserve"> </v>
      </c>
    </row>
    <row r="10" spans="2:14" ht="20" customHeight="1" x14ac:dyDescent="0.25">
      <c r="B10" s="53" t="str">
        <f>IFERROR(INDEX(CARBONO[ESP],MATCH(0,INDEX(COUNTIF($B$2:B9,CARBONO[ESP]),),)),"")</f>
        <v>2,7 Rittal</v>
      </c>
      <c r="C10" s="53">
        <f>IFERROR(INDEX(INOX[ESP],MATCH(0,INDEX(COUNTIF($C$2:C9,INOX[ESP]),),)),"")</f>
        <v>3</v>
      </c>
      <c r="D10" s="53" t="str">
        <f>IFERROR(INDEX(AL_5052[ESP],MATCH(0,INDEX(COUNTIF($D$2:D9,AL_5052[ESP]),),)),"")</f>
        <v/>
      </c>
      <c r="E10" s="53">
        <f>IFERROR(INDEX(AL_H14[ESP],MATCH(0,INDEX(COUNTIF($E$2:E9,AL_H14[ESP]),),)),"")</f>
        <v>8</v>
      </c>
      <c r="F10" s="54"/>
      <c r="G10" s="55" t="str">
        <f>IF(MATERIAL="CARBONO",IFERROR(INDEX(CARBONO[CANAL],Cálculos!$I33,COLUMNS($G$3:G10))," ")," ")</f>
        <v xml:space="preserve"> </v>
      </c>
      <c r="H10" s="55" t="str">
        <f>IF(MATERIAL="INOX",IFERROR(INDEX(INOX[CANAL],Cálculos!$R33,COLUMNS($H$3:H10))," ")," ")</f>
        <v xml:space="preserve"> </v>
      </c>
      <c r="I10" s="55" t="str">
        <f>IF(MATERIAL="A5052",IFERROR(INDEX(AL_5052[CANAL],Cálculos!$AH33,COLUMNS($I$3:I10))," ")," ")</f>
        <v xml:space="preserve"> </v>
      </c>
      <c r="J10" s="55" t="str">
        <f>IF(MATERIAL="H14",IFERROR(INDEX(AL_H14[CANAL],Cálculos!$Z33,COLUMNS($J$3:J10))," ")," ")</f>
        <v xml:space="preserve"> </v>
      </c>
    </row>
    <row r="11" spans="2:14" ht="20" customHeight="1" x14ac:dyDescent="0.25">
      <c r="B11" s="53">
        <f>IFERROR(INDEX(CARBONO[ESP],MATCH(0,INDEX(COUNTIF($B$2:B10,CARBONO[ESP]),),)),"")</f>
        <v>3.18</v>
      </c>
      <c r="C11" s="53">
        <f>IFERROR(INDEX(INOX[ESP],MATCH(0,INDEX(COUNTIF($C$2:C10,INOX[ESP]),),)),"")</f>
        <v>4</v>
      </c>
      <c r="D11" s="53" t="str">
        <f>IFERROR(INDEX(AL_5052[ESP],MATCH(0,INDEX(COUNTIF($D$2:D10,AL_5052[ESP]),),)),"")</f>
        <v/>
      </c>
      <c r="E11" s="53">
        <f>IFERROR(INDEX(AL_H14[ESP],MATCH(0,INDEX(COUNTIF($E$2:E10,AL_H14[ESP]),),)),"")</f>
        <v>10</v>
      </c>
      <c r="F11" s="54"/>
      <c r="G11" s="55" t="str">
        <f>IF(MATERIAL="CARBONO",IFERROR(INDEX(CARBONO[CANAL],Cálculos!$I34,COLUMNS($G$3:G11))," ")," ")</f>
        <v xml:space="preserve"> </v>
      </c>
      <c r="H11" s="55" t="str">
        <f>IF(MATERIAL="INOX",IFERROR(INDEX(INOX[CANAL],Cálculos!$R34,COLUMNS($H$3:H11))," ")," ")</f>
        <v xml:space="preserve"> </v>
      </c>
      <c r="I11" s="55" t="str">
        <f>IF(MATERIAL="A5052",IFERROR(INDEX(AL_5052[CANAL],Cálculos!$AH34,COLUMNS($I$3:I11))," ")," ")</f>
        <v xml:space="preserve"> </v>
      </c>
      <c r="J11" s="55" t="str">
        <f>IF(MATERIAL="H14",IFERROR(INDEX(AL_H14[CANAL],Cálculos!$Z34,COLUMNS($J$3:J11))," ")," ")</f>
        <v xml:space="preserve"> </v>
      </c>
    </row>
    <row r="12" spans="2:14" ht="20" customHeight="1" x14ac:dyDescent="0.25">
      <c r="B12" s="53">
        <f>IFERROR(INDEX(CARBONO[ESP],MATCH(0,INDEX(COUNTIF($B$2:B11,CARBONO[ESP]),),)),"")</f>
        <v>4</v>
      </c>
      <c r="C12" s="53">
        <f>IFERROR(INDEX(INOX[ESP],MATCH(0,INDEX(COUNTIF($C$2:C11,INOX[ESP]),),)),"")</f>
        <v>4.2</v>
      </c>
      <c r="D12" s="53" t="str">
        <f>IFERROR(INDEX(AL_5052[ESP],MATCH(0,INDEX(COUNTIF($D$2:D11,AL_5052[ESP]),),)),"")</f>
        <v/>
      </c>
      <c r="E12" s="53" t="str">
        <f>IFERROR(INDEX(AL_H14[ESP],MATCH(0,INDEX(COUNTIF($E$2:E11,AL_H14[ESP]),),)),"")</f>
        <v/>
      </c>
      <c r="F12" s="54"/>
      <c r="G12" s="55" t="str">
        <f>IF(MATERIAL="CARBONO",IFERROR(INDEX(CARBONO[CANAL],Cálculos!$I35,COLUMNS($G$3:G12))," ")," ")</f>
        <v xml:space="preserve"> </v>
      </c>
      <c r="H12" s="55" t="str">
        <f>IF(MATERIAL="INOX",IFERROR(INDEX(INOX[CANAL],Cálculos!$R35,COLUMNS($H$3:H12))," ")," ")</f>
        <v xml:space="preserve"> </v>
      </c>
      <c r="I12" s="55" t="str">
        <f>IF(MATERIAL="A5052",IFERROR(INDEX(AL_5052[CANAL],Cálculos!$AH35,COLUMNS($I$3:I12))," ")," ")</f>
        <v xml:space="preserve"> </v>
      </c>
      <c r="J12" s="55" t="str">
        <f>IF(MATERIAL="H14",IFERROR(INDEX(AL_H14[CANAL],Cálculos!$Z35,COLUMNS($J$3:J12))," ")," ")</f>
        <v xml:space="preserve"> </v>
      </c>
    </row>
    <row r="13" spans="2:14" ht="20" customHeight="1" x14ac:dyDescent="0.25">
      <c r="B13" s="53">
        <f>IFERROR(INDEX(CARBONO[ESP],MATCH(0,INDEX(COUNTIF($B$2:B12,CARBONO[ESP]),),)),"")</f>
        <v>4.25</v>
      </c>
      <c r="C13" s="53">
        <f>IFERROR(INDEX(INOX[ESP],MATCH(0,INDEX(COUNTIF($C$2:C12,INOX[ESP]),),)),"")</f>
        <v>5</v>
      </c>
      <c r="D13" s="53" t="str">
        <f>IFERROR(INDEX(AL_5052[ESP],MATCH(0,INDEX(COUNTIF($D$2:D12,AL_5052[ESP]),),)),"")</f>
        <v/>
      </c>
      <c r="E13" s="53" t="str">
        <f>IFERROR(INDEX(AL_H14[ESP],MATCH(0,INDEX(COUNTIF($E$2:E12,AL_H14[ESP]),),)),"")</f>
        <v/>
      </c>
      <c r="F13" s="54"/>
      <c r="G13" s="55" t="str">
        <f>IF(MATERIAL="CARBONO",IFERROR(INDEX(CARBONO[CANAL],Cálculos!$I36,COLUMNS($G$3:G13))," ")," ")</f>
        <v xml:space="preserve"> </v>
      </c>
      <c r="H13" s="55" t="str">
        <f>IF(MATERIAL="INOX",IFERROR(INDEX(INOX[CANAL],Cálculos!$R36,COLUMNS($H$3:H13))," ")," ")</f>
        <v xml:space="preserve"> </v>
      </c>
      <c r="I13" s="55" t="str">
        <f>IF(MATERIAL="A5052",IFERROR(INDEX(AL_5052[CANAL],Cálculos!$AH36,COLUMNS($I$3:I13))," ")," ")</f>
        <v xml:space="preserve"> </v>
      </c>
      <c r="J13" s="55" t="str">
        <f>IF(MATERIAL="H14",IFERROR(INDEX(AL_H14[CANAL],Cálculos!$Z36,COLUMNS($J$3:J13))," ")," ")</f>
        <v xml:space="preserve"> </v>
      </c>
    </row>
    <row r="14" spans="2:14" ht="20" customHeight="1" x14ac:dyDescent="0.25">
      <c r="B14" s="53">
        <f>IFERROR(INDEX(CARBONO[ESP],MATCH(0,INDEX(COUNTIF($B$2:B13,CARBONO[ESP]),),)),"")</f>
        <v>4.75</v>
      </c>
      <c r="C14" s="53">
        <f>IFERROR(INDEX(INOX[ESP],MATCH(0,INDEX(COUNTIF($C$2:C13,INOX[ESP]),),)),"")</f>
        <v>6</v>
      </c>
      <c r="D14" s="53" t="str">
        <f>IFERROR(INDEX(AL_5052[ESP],MATCH(0,INDEX(COUNTIF($D$2:D13,AL_5052[ESP]),),)),"")</f>
        <v/>
      </c>
      <c r="E14" s="53" t="str">
        <f>IFERROR(INDEX(AL_H14[ESP],MATCH(0,INDEX(COUNTIF($E$2:E13,AL_H14[ESP]),),)),"")</f>
        <v/>
      </c>
      <c r="F14" s="54"/>
      <c r="G14" s="55" t="str">
        <f>IF(MATERIAL="CARBONO",IFERROR(INDEX(CARBONO[CANAL],Cálculos!$I37,COLUMNS($G$3:G14))," ")," ")</f>
        <v xml:space="preserve"> </v>
      </c>
      <c r="H14" s="55" t="str">
        <f>IF(MATERIAL="INOX",IFERROR(INDEX(INOX[CANAL],Cálculos!$R37,COLUMNS($H$3:H14))," ")," ")</f>
        <v xml:space="preserve"> </v>
      </c>
      <c r="I14" s="55" t="str">
        <f>IF(MATERIAL="A5052",IFERROR(INDEX(AL_5052[CANAL],Cálculos!$AH37,COLUMNS($I$3:I14))," ")," ")</f>
        <v xml:space="preserve"> </v>
      </c>
      <c r="J14" s="55" t="str">
        <f>IF(MATERIAL="H14",IFERROR(INDEX(AL_H14[CANAL],Cálculos!$Z37,COLUMNS($J$3:J14))," ")," ")</f>
        <v xml:space="preserve"> </v>
      </c>
      <c r="L14" s="15"/>
    </row>
    <row r="15" spans="2:14" ht="20" customHeight="1" x14ac:dyDescent="0.25">
      <c r="B15" s="53">
        <f>IFERROR(INDEX(CARBONO[ESP],MATCH(0,INDEX(COUNTIF($B$2:B14,CARBONO[ESP]),),)),"")</f>
        <v>6.35</v>
      </c>
      <c r="C15" s="53">
        <f>IFERROR(INDEX(INOX[ESP],MATCH(0,INDEX(COUNTIF($C$2:C14,INOX[ESP]),),)),"")</f>
        <v>8</v>
      </c>
      <c r="D15" s="53" t="str">
        <f>IFERROR(INDEX(AL_5052[ESP],MATCH(0,INDEX(COUNTIF($D$2:D14,AL_5052[ESP]),),)),"")</f>
        <v/>
      </c>
      <c r="E15" s="53" t="str">
        <f>IFERROR(INDEX(AL_H14[ESP],MATCH(0,INDEX(COUNTIF($E$2:E14,AL_H14[ESP]),),)),"")</f>
        <v/>
      </c>
      <c r="F15" s="54"/>
      <c r="G15" s="55" t="str">
        <f>IF(MATERIAL="CARBONO",IFERROR(INDEX(CARBONO[CANAL],Cálculos!$I38,COLUMNS($G$3:G15))," ")," ")</f>
        <v xml:space="preserve"> </v>
      </c>
      <c r="H15" s="55" t="str">
        <f>IF(MATERIAL="INOX",IFERROR(INDEX(INOX[CANAL],Cálculos!$R38,COLUMNS($H$3:H15))," ")," ")</f>
        <v xml:space="preserve"> </v>
      </c>
      <c r="I15" s="55" t="str">
        <f>IF(MATERIAL="A5052",IFERROR(INDEX(AL_5052[CANAL],Cálculos!$AH38,COLUMNS($I$3:I15))," ")," ")</f>
        <v xml:space="preserve"> </v>
      </c>
      <c r="J15" s="55" t="str">
        <f>IF(MATERIAL="H14",IFERROR(INDEX(AL_H14[CANAL],Cálculos!$Z38,COLUMNS($J$3:J15))," ")," ")</f>
        <v xml:space="preserve"> </v>
      </c>
      <c r="L15" s="3"/>
      <c r="N15" s="17"/>
    </row>
    <row r="16" spans="2:14" ht="20" customHeight="1" x14ac:dyDescent="0.25">
      <c r="B16" s="53">
        <f>IFERROR(INDEX(CARBONO[ESP],MATCH(0,INDEX(COUNTIF($B$2:B15,CARBONO[ESP]),),)),"")</f>
        <v>7.9375</v>
      </c>
      <c r="C16" s="53">
        <f>IFERROR(INDEX(INOX[ESP],MATCH(0,INDEX(COUNTIF($C$2:C15,INOX[ESP]),),)),"")</f>
        <v>9.5</v>
      </c>
      <c r="D16" s="53" t="str">
        <f>IFERROR(INDEX(AL_5052[ESP],MATCH(0,INDEX(COUNTIF($D$2:D15,AL_5052[ESP]),),)),"")</f>
        <v/>
      </c>
      <c r="E16" s="53" t="str">
        <f>IFERROR(INDEX(AL_H14[ESP],MATCH(0,INDEX(COUNTIF($E$2:E15,AL_H14[ESP]),),)),"")</f>
        <v/>
      </c>
      <c r="F16" s="54"/>
      <c r="G16" s="55" t="str">
        <f>IF(MATERIAL="CARBONO",IFERROR(INDEX(CARBONO[CANAL],Cálculos!$I39,COLUMNS($G$3:G16))," ")," ")</f>
        <v xml:space="preserve"> </v>
      </c>
      <c r="H16" s="55" t="str">
        <f>IF(MATERIAL="INOX",IFERROR(INDEX(INOX[CANAL],Cálculos!$R39,COLUMNS($H$3:H16))," ")," ")</f>
        <v xml:space="preserve"> </v>
      </c>
      <c r="I16" s="55" t="str">
        <f>IF(MATERIAL="A5052",IFERROR(INDEX(AL_5052[CANAL],Cálculos!$AH39,COLUMNS($I$3:I16))," ")," ")</f>
        <v xml:space="preserve"> </v>
      </c>
      <c r="J16" s="55" t="str">
        <f>IF(MATERIAL="H14",IFERROR(INDEX(AL_H14[CANAL],Cálculos!$Z39,COLUMNS($J$3:J16))," ")," ")</f>
        <v xml:space="preserve"> </v>
      </c>
      <c r="L16" s="3"/>
    </row>
    <row r="17" spans="2:10" ht="20" customHeight="1" x14ac:dyDescent="0.25">
      <c r="B17" s="53">
        <f>IFERROR(INDEX(CARBONO[ESP],MATCH(0,INDEX(COUNTIF($B$2:B16,CARBONO[ESP]),),)),"")</f>
        <v>9.5250000000000004</v>
      </c>
      <c r="C17" s="53">
        <f>IFERROR(INDEX(INOX[ESP],MATCH(0,INDEX(COUNTIF($C$2:C16,INOX[ESP]),),)),"")</f>
        <v>10</v>
      </c>
      <c r="D17" s="53" t="str">
        <f>IFERROR(INDEX(AL_5052[ESP],MATCH(0,INDEX(COUNTIF($D$2:D16,AL_5052[ESP]),),)),"")</f>
        <v/>
      </c>
      <c r="E17" s="53" t="str">
        <f>IFERROR(INDEX(AL_H14[ESP],MATCH(0,INDEX(COUNTIF($E$2:E16,AL_H14[ESP]),),)),"")</f>
        <v/>
      </c>
      <c r="F17" s="54"/>
      <c r="G17" s="55" t="str">
        <f>IF(MATERIAL="CARBONO",IFERROR(INDEX(CARBONO[CANAL],Cálculos!$I40,COLUMNS($G$3:G17))," ")," ")</f>
        <v xml:space="preserve"> </v>
      </c>
      <c r="H17" s="55" t="str">
        <f>IF(MATERIAL="INOX",IFERROR(INDEX(INOX[CANAL],Cálculos!$R40,COLUMNS($H$3:H17))," ")," ")</f>
        <v xml:space="preserve"> </v>
      </c>
      <c r="I17" s="55" t="str">
        <f>IF(MATERIAL="A5052",IFERROR(INDEX(AL_5052[CANAL],Cálculos!$AH40,COLUMNS($I$3:I17))," ")," ")</f>
        <v xml:space="preserve"> </v>
      </c>
      <c r="J17" s="55" t="str">
        <f>IF(MATERIAL="H14",IFERROR(INDEX(AL_H14[CANAL],Cálculos!$Z40,COLUMNS($J$3:J17))," ")," ")</f>
        <v xml:space="preserve"> </v>
      </c>
    </row>
    <row r="18" spans="2:10" ht="20" customHeight="1" x14ac:dyDescent="0.25">
      <c r="B18" s="53">
        <f>IFERROR(INDEX(CARBONO[ESP],MATCH(0,INDEX(COUNTIF($B$2:B17,CARBONO[ESP]),),)),"")</f>
        <v>12.7</v>
      </c>
      <c r="C18" s="53">
        <f>IFERROR(INDEX(INOX[ESP],MATCH(0,INDEX(COUNTIF($C$2:C17,INOX[ESP]),),)),"")</f>
        <v>12.7</v>
      </c>
      <c r="D18" s="53" t="str">
        <f>IFERROR(INDEX(AL_5052[ESP],MATCH(0,INDEX(COUNTIF($D$2:D17,AL_5052[ESP]),),)),"")</f>
        <v/>
      </c>
      <c r="E18" s="53" t="str">
        <f>IFERROR(INDEX(AL_H14[ESP],MATCH(0,INDEX(COUNTIF($E$2:E17,AL_H14[ESP]),),)),"")</f>
        <v/>
      </c>
      <c r="G18" s="55" t="str">
        <f>IF(MATERIAL="CARBONO",IFERROR(INDEX(CARBONO[CANAL],Cálculos!$I42,COLUMNS($G$3:G18))," ")," ")</f>
        <v xml:space="preserve"> </v>
      </c>
      <c r="H18" s="55" t="str">
        <f>IF(MATERIAL="INOX",IFERROR(INDEX(INOX[CANAL],Cálculos!$R41,COLUMNS($H$3:H18))," ")," ")</f>
        <v xml:space="preserve"> </v>
      </c>
      <c r="I18" s="55" t="str">
        <f>IF(MATERIAL="A5052",IFERROR(INDEX(AL_5052[CANAL],Cálculos!$AH41,COLUMNS($I$3:I18))," ")," ")</f>
        <v xml:space="preserve"> </v>
      </c>
      <c r="J18" s="55" t="str">
        <f>IF(MATERIAL="H14",IFERROR(INDEX(AL_H14[CANAL],Cálculos!$Z41,COLUMNS($J$3:J18))," ")," ")</f>
        <v xml:space="preserve"> </v>
      </c>
    </row>
    <row r="19" spans="2:10" ht="20" customHeight="1" x14ac:dyDescent="0.25">
      <c r="B19" s="53">
        <f>IFERROR(INDEX(CARBONO[ESP],MATCH(0,INDEX(COUNTIF($B$2:B18,CARBONO[ESP]),),)),"")</f>
        <v>15.85</v>
      </c>
      <c r="C19" s="53">
        <f>IFERROR(INDEX(INOX[ESP],MATCH(0,INDEX(COUNTIF($C$2:C18,INOX[ESP]),),)),"")</f>
        <v>16</v>
      </c>
      <c r="D19" s="53" t="str">
        <f>IFERROR(INDEX(AL_5052[ESP],MATCH(0,INDEX(COUNTIF($D$2:D18,AL_5052[ESP]),),)),"")</f>
        <v/>
      </c>
      <c r="E19" s="53" t="str">
        <f>IFERROR(INDEX(AL_H14[ESP],MATCH(0,INDEX(COUNTIF($E$2:E18,AL_H14[ESP]),),)),"")</f>
        <v/>
      </c>
      <c r="G19" s="55" t="str">
        <f>IF(MATERIAL="CARBONO",IFERROR(INDEX(CARBONO[CANAL],Cálculos!$I43,COLUMNS($G$3:G19))," ")," ")</f>
        <v xml:space="preserve"> </v>
      </c>
      <c r="H19" s="55" t="str">
        <f>IF(MATERIAL="INOX",IFERROR(INDEX(INOX[CANAL],Cálculos!$R42,COLUMNS($H$3:H19))," ")," ")</f>
        <v xml:space="preserve"> </v>
      </c>
      <c r="I19" s="55" t="str">
        <f>IF(MATERIAL="A5052",IFERROR(INDEX(AL_5052[CANAL],Cálculos!$AH42,COLUMNS($I$3:I19))," ")," ")</f>
        <v xml:space="preserve"> </v>
      </c>
      <c r="J19" s="55" t="str">
        <f>IF(MATERIAL="H14",IFERROR(INDEX(AL_H14[CANAL],Cálculos!$Z42,COLUMNS($J$3:J19))," ")," ")</f>
        <v xml:space="preserve"> </v>
      </c>
    </row>
    <row r="20" spans="2:10" ht="20" customHeight="1" x14ac:dyDescent="0.25">
      <c r="B20" s="58"/>
      <c r="C20" s="53"/>
      <c r="D20" s="53"/>
      <c r="E20" s="53"/>
      <c r="G20" s="17"/>
      <c r="H20" s="54"/>
      <c r="I20" s="54"/>
      <c r="J20" s="54"/>
    </row>
    <row r="21" spans="2:10" ht="20" customHeight="1" x14ac:dyDescent="0.25">
      <c r="B21" s="58"/>
      <c r="C21" s="53"/>
      <c r="D21" s="53"/>
      <c r="E21" s="53"/>
      <c r="G21" s="17"/>
      <c r="H21" s="54"/>
      <c r="I21" s="54"/>
      <c r="J21" s="54"/>
    </row>
    <row r="22" spans="2:10" ht="20" customHeight="1" x14ac:dyDescent="0.25">
      <c r="B22" s="58"/>
      <c r="C22" s="53"/>
      <c r="D22" s="53"/>
      <c r="E22" s="53"/>
      <c r="G22" s="17"/>
      <c r="H22" s="54"/>
      <c r="I22" s="54"/>
      <c r="J22" s="54"/>
    </row>
    <row r="23" spans="2:10" ht="20" customHeight="1" x14ac:dyDescent="0.25">
      <c r="B23" s="58"/>
      <c r="C23" s="53"/>
      <c r="D23" s="53"/>
      <c r="E23" s="53"/>
      <c r="G23" s="17"/>
      <c r="H23" s="54"/>
      <c r="I23" s="54"/>
      <c r="J23" s="54"/>
    </row>
    <row r="24" spans="2:10" ht="20" customHeight="1" x14ac:dyDescent="0.25">
      <c r="B24" s="58"/>
      <c r="C24" s="58"/>
      <c r="D24" s="58"/>
      <c r="E24" s="53"/>
      <c r="G24" s="17"/>
      <c r="H24" s="54"/>
      <c r="I24" s="54"/>
      <c r="J24" s="54"/>
    </row>
    <row r="25" spans="2:10" ht="20" customHeight="1" x14ac:dyDescent="0.25">
      <c r="B25" s="58"/>
      <c r="C25" s="58"/>
      <c r="D25" s="58"/>
      <c r="E25" s="53"/>
      <c r="G25" s="17"/>
      <c r="H25" s="54"/>
      <c r="I25" s="54"/>
      <c r="J25" s="54"/>
    </row>
    <row r="26" spans="2:10" ht="20" customHeight="1" x14ac:dyDescent="0.25">
      <c r="B26" s="58"/>
      <c r="C26" s="58"/>
      <c r="D26" s="58"/>
      <c r="E26" s="53"/>
      <c r="G26" s="17"/>
      <c r="H26" s="54"/>
      <c r="I26" s="54"/>
      <c r="J26" s="54"/>
    </row>
    <row r="27" spans="2:10" ht="20" customHeight="1" x14ac:dyDescent="0.25">
      <c r="B27" s="58"/>
      <c r="C27" s="58"/>
      <c r="D27" s="58"/>
      <c r="E27" s="53"/>
      <c r="G27" s="17"/>
      <c r="H27" s="54"/>
      <c r="I27" s="54"/>
      <c r="J27" s="54"/>
    </row>
    <row r="28" spans="2:10" ht="20" customHeight="1" x14ac:dyDescent="0.25">
      <c r="B28" s="58"/>
      <c r="C28" s="58"/>
      <c r="D28" s="58"/>
      <c r="E28" s="53"/>
      <c r="G28" s="17"/>
      <c r="H28" s="54"/>
      <c r="I28" s="54"/>
      <c r="J28" s="54"/>
    </row>
    <row r="29" spans="2:10" ht="20" customHeight="1" x14ac:dyDescent="0.25">
      <c r="B29" s="58"/>
      <c r="C29" s="58"/>
      <c r="D29" s="58"/>
      <c r="E29" s="53"/>
      <c r="G29" s="17"/>
      <c r="H29" s="54"/>
      <c r="I29" s="54"/>
      <c r="J29" s="54"/>
    </row>
    <row r="30" spans="2:10" ht="20" customHeight="1" x14ac:dyDescent="0.25">
      <c r="B30" s="58"/>
      <c r="C30" s="58"/>
      <c r="D30" s="58"/>
      <c r="E30" s="53"/>
      <c r="G30" s="17"/>
      <c r="H30" s="54"/>
      <c r="I30" s="54"/>
      <c r="J30" s="54"/>
    </row>
    <row r="31" spans="2:10" ht="20" customHeight="1" x14ac:dyDescent="0.25">
      <c r="B31" s="58"/>
      <c r="C31" s="58"/>
      <c r="D31" s="58"/>
      <c r="E31" s="53"/>
      <c r="G31"/>
      <c r="H31" s="54"/>
      <c r="I31" s="54"/>
      <c r="J31" s="54"/>
    </row>
    <row r="32" spans="2:10" ht="20" customHeight="1" x14ac:dyDescent="0.25">
      <c r="B32" s="58"/>
      <c r="C32" s="58"/>
      <c r="D32" s="58"/>
      <c r="E32" s="53"/>
      <c r="G32" s="54"/>
      <c r="H32" s="54"/>
      <c r="I32" s="54"/>
      <c r="J32" s="54"/>
    </row>
    <row r="33" spans="2:10" ht="20" customHeight="1" x14ac:dyDescent="0.25">
      <c r="B33" s="58"/>
      <c r="C33" s="58"/>
      <c r="D33" s="58"/>
      <c r="E33" s="53"/>
      <c r="G33" s="86"/>
      <c r="H33" s="54"/>
      <c r="I33" s="54"/>
      <c r="J33" s="54"/>
    </row>
    <row r="34" spans="2:10" x14ac:dyDescent="0.25">
      <c r="H34" s="3"/>
      <c r="I34" s="3"/>
      <c r="J34" s="3"/>
    </row>
    <row r="35" spans="2:10" x14ac:dyDescent="0.25">
      <c r="H35" s="3"/>
      <c r="I35" s="3"/>
      <c r="J35" s="3"/>
    </row>
    <row r="36" spans="2:10" x14ac:dyDescent="0.25">
      <c r="H36" s="3"/>
      <c r="I36" s="3"/>
      <c r="J36" s="3"/>
    </row>
    <row r="37" spans="2:10" x14ac:dyDescent="0.25">
      <c r="H37" s="3"/>
      <c r="I37" s="3"/>
      <c r="J37" s="3"/>
    </row>
    <row r="38" spans="2:10" x14ac:dyDescent="0.25">
      <c r="H38" s="3"/>
      <c r="I38" s="3"/>
      <c r="J38" s="3"/>
    </row>
    <row r="39" spans="2:10" x14ac:dyDescent="0.25">
      <c r="H39" s="3"/>
      <c r="I39" s="3"/>
      <c r="J39" s="3"/>
    </row>
    <row r="40" spans="2:10" x14ac:dyDescent="0.25">
      <c r="H40" s="3"/>
      <c r="I40" s="3"/>
      <c r="J40" s="3"/>
    </row>
    <row r="41" spans="2:10" x14ac:dyDescent="0.25">
      <c r="H41" s="3"/>
      <c r="I41" s="3"/>
      <c r="J41" s="3"/>
    </row>
    <row r="42" spans="2:10" x14ac:dyDescent="0.25">
      <c r="H42" s="3"/>
      <c r="I42" s="3"/>
      <c r="J42" s="3"/>
    </row>
    <row r="43" spans="2:10" x14ac:dyDescent="0.25">
      <c r="H43" s="3"/>
      <c r="I43" s="3"/>
      <c r="J43" s="3"/>
    </row>
    <row r="44" spans="2:10" x14ac:dyDescent="0.25">
      <c r="H44" s="3"/>
      <c r="I44" s="3"/>
      <c r="J44" s="3"/>
    </row>
    <row r="45" spans="2:10" x14ac:dyDescent="0.25">
      <c r="H45" s="3"/>
      <c r="I45" s="3"/>
      <c r="J45" s="3"/>
    </row>
    <row r="46" spans="2:10" x14ac:dyDescent="0.25">
      <c r="H46" s="3"/>
      <c r="I46" s="3"/>
      <c r="J46" s="3"/>
    </row>
    <row r="47" spans="2:10" x14ac:dyDescent="0.25">
      <c r="H47" s="3"/>
      <c r="I47" s="3"/>
      <c r="J47" s="3"/>
    </row>
    <row r="48" spans="2:10" x14ac:dyDescent="0.25">
      <c r="H48" s="3"/>
      <c r="I48" s="3"/>
      <c r="J48" s="3"/>
    </row>
    <row r="49" spans="8:10" x14ac:dyDescent="0.25">
      <c r="H49" s="3"/>
      <c r="I49" s="3"/>
      <c r="J49" s="3"/>
    </row>
    <row r="50" spans="8:10" x14ac:dyDescent="0.25">
      <c r="H50" s="3"/>
      <c r="I50" s="3"/>
      <c r="J50" s="3"/>
    </row>
    <row r="51" spans="8:10" x14ac:dyDescent="0.25">
      <c r="H51" s="3"/>
      <c r="I51" s="3"/>
      <c r="J51" s="3"/>
    </row>
    <row r="52" spans="8:10" x14ac:dyDescent="0.25">
      <c r="H52" s="3"/>
      <c r="I52" s="3"/>
      <c r="J52" s="3"/>
    </row>
    <row r="53" spans="8:10" x14ac:dyDescent="0.25">
      <c r="H53" s="3"/>
      <c r="I53" s="3"/>
      <c r="J53" s="3"/>
    </row>
    <row r="54" spans="8:10" x14ac:dyDescent="0.25">
      <c r="H54" s="3"/>
      <c r="I54" s="3"/>
      <c r="J54" s="3"/>
    </row>
    <row r="55" spans="8:10" x14ac:dyDescent="0.25">
      <c r="H55" s="3"/>
      <c r="I55" s="3"/>
      <c r="J55" s="3"/>
    </row>
    <row r="56" spans="8:10" x14ac:dyDescent="0.25">
      <c r="H56" s="3"/>
      <c r="I56" s="3"/>
      <c r="J56" s="3"/>
    </row>
    <row r="57" spans="8:10" x14ac:dyDescent="0.25">
      <c r="H57" s="3"/>
      <c r="I57" s="3"/>
      <c r="J57" s="3"/>
    </row>
    <row r="58" spans="8:10" x14ac:dyDescent="0.25">
      <c r="H58" s="3"/>
      <c r="I58" s="3"/>
      <c r="J58" s="3"/>
    </row>
    <row r="59" spans="8:10" x14ac:dyDescent="0.25">
      <c r="H59" s="3"/>
      <c r="I59" s="3"/>
      <c r="J59" s="3"/>
    </row>
    <row r="60" spans="8:10" x14ac:dyDescent="0.25">
      <c r="H60" s="3"/>
      <c r="I60" s="3"/>
      <c r="J60" s="3"/>
    </row>
    <row r="61" spans="8:10" x14ac:dyDescent="0.25">
      <c r="H61" s="3"/>
      <c r="I61" s="3"/>
      <c r="J61" s="3"/>
    </row>
    <row r="62" spans="8:10" x14ac:dyDescent="0.25">
      <c r="H62" s="3"/>
      <c r="I62" s="3"/>
      <c r="J62" s="3"/>
    </row>
    <row r="63" spans="8:10" x14ac:dyDescent="0.25">
      <c r="H63" s="3"/>
      <c r="I63" s="3"/>
      <c r="J63" s="3"/>
    </row>
    <row r="64" spans="8:10" x14ac:dyDescent="0.25">
      <c r="H64" s="3"/>
      <c r="I64" s="3"/>
      <c r="J64" s="3"/>
    </row>
    <row r="65" spans="8:10" x14ac:dyDescent="0.25">
      <c r="H65" s="3"/>
      <c r="I65" s="3"/>
      <c r="J65" s="3"/>
    </row>
    <row r="66" spans="8:10" x14ac:dyDescent="0.25">
      <c r="H66" s="3"/>
      <c r="I66" s="3"/>
      <c r="J66" s="3"/>
    </row>
    <row r="67" spans="8:10" x14ac:dyDescent="0.25">
      <c r="H67" s="3"/>
      <c r="I67" s="3"/>
      <c r="J67" s="3"/>
    </row>
    <row r="68" spans="8:10" x14ac:dyDescent="0.25">
      <c r="H68" s="3"/>
      <c r="I68" s="3"/>
      <c r="J68" s="3"/>
    </row>
    <row r="69" spans="8:10" x14ac:dyDescent="0.25">
      <c r="H69" s="3"/>
      <c r="I69" s="3"/>
      <c r="J69" s="3"/>
    </row>
    <row r="70" spans="8:10" x14ac:dyDescent="0.25">
      <c r="H70" s="3"/>
      <c r="I70" s="3"/>
      <c r="J70" s="3"/>
    </row>
    <row r="71" spans="8:10" x14ac:dyDescent="0.25">
      <c r="H71" s="3"/>
      <c r="I71" s="3"/>
      <c r="J71" s="3"/>
    </row>
  </sheetData>
  <sheetProtection password="CC5A" sheet="1" objects="1" scenarios="1"/>
  <customSheetViews>
    <customSheetView guid="{EF75DF0C-4CDD-487C-B839-63FD0E393925}">
      <selection activeCell="G3" sqref="G3"/>
      <pageMargins left="0.511811024" right="0.511811024" top="0.78740157499999996" bottom="0.78740157499999996" header="0.31496062000000002" footer="0.31496062000000002"/>
    </customSheetView>
    <customSheetView guid="{DF07270F-9CD0-472A-9B32-FD7DD7622659}">
      <selection activeCell="E3" sqref="E3:E16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  <pageSetup paperSize="9" orientation="landscape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31"/>
  <sheetViews>
    <sheetView workbookViewId="0">
      <selection activeCell="D8" sqref="D8"/>
    </sheetView>
  </sheetViews>
  <sheetFormatPr defaultColWidth="8.90625" defaultRowHeight="12.5" x14ac:dyDescent="0.25"/>
  <cols>
    <col min="1" max="1" width="27" style="68" bestFit="1" customWidth="1"/>
    <col min="2" max="2" width="16.54296875" style="68" bestFit="1" customWidth="1"/>
    <col min="3" max="3" width="14.36328125" style="68" bestFit="1" customWidth="1"/>
    <col min="4" max="4" width="44.08984375" style="68" bestFit="1" customWidth="1"/>
    <col min="5" max="5" width="8.90625" style="68"/>
    <col min="6" max="6" width="6.90625" style="68" bestFit="1" customWidth="1"/>
    <col min="7" max="7" width="8.54296875" style="68" bestFit="1" customWidth="1"/>
    <col min="8" max="16384" width="8.90625" style="68"/>
  </cols>
  <sheetData>
    <row r="1" spans="1:7" ht="20" customHeight="1" x14ac:dyDescent="0.25"/>
    <row r="2" spans="1:7" ht="20" customHeight="1" x14ac:dyDescent="0.25">
      <c r="A2" s="197" t="s">
        <v>36</v>
      </c>
      <c r="B2" s="197"/>
      <c r="C2" s="197"/>
      <c r="D2" s="197"/>
      <c r="F2" s="69" t="s">
        <v>64</v>
      </c>
      <c r="G2" s="1" t="s">
        <v>78</v>
      </c>
    </row>
    <row r="3" spans="1:7" ht="20" customHeight="1" x14ac:dyDescent="0.25">
      <c r="A3" s="62" t="s">
        <v>76</v>
      </c>
      <c r="B3" s="63" t="s">
        <v>37</v>
      </c>
      <c r="C3" s="63" t="s">
        <v>38</v>
      </c>
      <c r="D3" s="64" t="s">
        <v>39</v>
      </c>
      <c r="F3" s="69">
        <v>5</v>
      </c>
      <c r="G3" s="1">
        <v>8.6</v>
      </c>
    </row>
    <row r="4" spans="1:7" ht="20" customHeight="1" x14ac:dyDescent="0.25">
      <c r="A4" s="59" t="s">
        <v>40</v>
      </c>
      <c r="B4" s="52">
        <v>7095</v>
      </c>
      <c r="C4" s="52">
        <v>117</v>
      </c>
      <c r="D4" s="61"/>
      <c r="F4" s="69">
        <v>8</v>
      </c>
      <c r="G4" s="1">
        <v>8.6</v>
      </c>
    </row>
    <row r="5" spans="1:7" ht="20" customHeight="1" x14ac:dyDescent="0.25">
      <c r="A5" s="59" t="s">
        <v>41</v>
      </c>
      <c r="B5" s="52">
        <v>4555</v>
      </c>
      <c r="C5" s="52">
        <v>105</v>
      </c>
      <c r="D5" s="61"/>
      <c r="F5" s="69">
        <v>10</v>
      </c>
      <c r="G5" s="1">
        <v>9</v>
      </c>
    </row>
    <row r="6" spans="1:7" ht="20" customHeight="1" x14ac:dyDescent="0.25">
      <c r="A6" s="59" t="s">
        <v>75</v>
      </c>
      <c r="B6" s="52">
        <v>600</v>
      </c>
      <c r="C6" s="52">
        <v>108</v>
      </c>
      <c r="D6" s="61"/>
      <c r="F6" s="69">
        <v>16</v>
      </c>
      <c r="G6" s="1">
        <v>12</v>
      </c>
    </row>
    <row r="7" spans="1:7" ht="20" customHeight="1" x14ac:dyDescent="0.25">
      <c r="A7" s="59" t="s">
        <v>79</v>
      </c>
      <c r="B7" s="1">
        <v>640</v>
      </c>
      <c r="C7" s="52"/>
      <c r="D7" s="2" t="s">
        <v>80</v>
      </c>
      <c r="F7" s="69">
        <v>22</v>
      </c>
      <c r="G7" s="1">
        <v>30</v>
      </c>
    </row>
    <row r="8" spans="1:7" ht="20" customHeight="1" x14ac:dyDescent="0.25">
      <c r="A8" s="70" t="s">
        <v>82</v>
      </c>
      <c r="B8" s="1">
        <v>640</v>
      </c>
      <c r="C8" s="52"/>
      <c r="D8" s="2" t="s">
        <v>80</v>
      </c>
      <c r="F8" s="69">
        <v>25</v>
      </c>
      <c r="G8" s="1">
        <v>17.5</v>
      </c>
    </row>
    <row r="9" spans="1:7" ht="20" customHeight="1" x14ac:dyDescent="0.25">
      <c r="A9" s="70" t="s">
        <v>83</v>
      </c>
      <c r="B9" s="1">
        <v>1025</v>
      </c>
      <c r="C9" s="52"/>
      <c r="D9" s="2" t="s">
        <v>81</v>
      </c>
      <c r="F9" s="69">
        <v>35</v>
      </c>
      <c r="G9" s="1">
        <v>30</v>
      </c>
    </row>
    <row r="10" spans="1:7" ht="20" customHeight="1" x14ac:dyDescent="0.25">
      <c r="A10" s="70" t="s">
        <v>84</v>
      </c>
      <c r="B10" s="1">
        <v>1025</v>
      </c>
      <c r="C10" s="52"/>
      <c r="D10" s="2" t="s">
        <v>81</v>
      </c>
      <c r="F10" s="69">
        <v>50</v>
      </c>
      <c r="G10" s="1">
        <v>30</v>
      </c>
    </row>
    <row r="11" spans="1:7" ht="20" customHeight="1" x14ac:dyDescent="0.25">
      <c r="A11" s="59" t="s">
        <v>42</v>
      </c>
      <c r="B11" s="52">
        <v>1000</v>
      </c>
      <c r="C11" s="52">
        <v>136</v>
      </c>
      <c r="D11" s="61"/>
      <c r="F11" s="72">
        <v>80</v>
      </c>
      <c r="G11" s="71">
        <v>47.5</v>
      </c>
    </row>
    <row r="12" spans="1:7" ht="20" customHeight="1" x14ac:dyDescent="0.25">
      <c r="A12" s="60" t="s">
        <v>85</v>
      </c>
      <c r="B12" s="52">
        <v>3945</v>
      </c>
      <c r="C12" s="52">
        <v>60</v>
      </c>
      <c r="D12" s="61"/>
    </row>
    <row r="13" spans="1:7" ht="20" customHeight="1" x14ac:dyDescent="0.25">
      <c r="A13" s="60" t="s">
        <v>86</v>
      </c>
      <c r="B13" s="52">
        <v>3340</v>
      </c>
      <c r="C13" s="52">
        <v>100</v>
      </c>
      <c r="D13" s="61" t="s">
        <v>87</v>
      </c>
    </row>
    <row r="14" spans="1:7" ht="20" customHeight="1" x14ac:dyDescent="0.25">
      <c r="A14" s="59" t="s">
        <v>68</v>
      </c>
      <c r="B14" s="52">
        <v>5375</v>
      </c>
      <c r="C14" s="52">
        <v>80</v>
      </c>
      <c r="D14" s="61"/>
    </row>
    <row r="15" spans="1:7" ht="20" customHeight="1" x14ac:dyDescent="0.25">
      <c r="A15" s="59" t="s">
        <v>69</v>
      </c>
      <c r="B15" s="52">
        <v>4145</v>
      </c>
      <c r="C15" s="52">
        <v>80</v>
      </c>
      <c r="D15" s="61"/>
    </row>
    <row r="16" spans="1:7" ht="20" customHeight="1" x14ac:dyDescent="0.25">
      <c r="A16" s="59" t="s">
        <v>70</v>
      </c>
      <c r="B16" s="52">
        <v>1265</v>
      </c>
      <c r="C16" s="52">
        <v>100</v>
      </c>
      <c r="D16" s="61"/>
    </row>
    <row r="17" spans="1:4" ht="20" customHeight="1" x14ac:dyDescent="0.25">
      <c r="A17" s="59" t="s">
        <v>71</v>
      </c>
      <c r="B17" s="52">
        <v>3310</v>
      </c>
      <c r="C17" s="52">
        <v>80</v>
      </c>
      <c r="D17" s="61"/>
    </row>
    <row r="18" spans="1:4" ht="20" customHeight="1" x14ac:dyDescent="0.25">
      <c r="A18" s="59" t="s">
        <v>72</v>
      </c>
      <c r="B18" s="52">
        <v>750</v>
      </c>
      <c r="C18" s="52">
        <v>95</v>
      </c>
      <c r="D18" s="61" t="s">
        <v>88</v>
      </c>
    </row>
    <row r="19" spans="1:4" ht="20" customHeight="1" x14ac:dyDescent="0.25">
      <c r="A19" s="59" t="s">
        <v>73</v>
      </c>
      <c r="B19" s="52">
        <v>2970</v>
      </c>
      <c r="C19" s="52">
        <v>100</v>
      </c>
      <c r="D19" s="61" t="s">
        <v>88</v>
      </c>
    </row>
    <row r="20" spans="1:4" ht="20" customHeight="1" x14ac:dyDescent="0.25">
      <c r="A20" s="65" t="s">
        <v>74</v>
      </c>
      <c r="B20" s="66">
        <v>2500</v>
      </c>
      <c r="C20" s="66">
        <v>60</v>
      </c>
      <c r="D20" s="67" t="s">
        <v>88</v>
      </c>
    </row>
    <row r="21" spans="1:4" ht="20" customHeight="1" x14ac:dyDescent="0.25"/>
    <row r="22" spans="1:4" ht="20" customHeight="1" x14ac:dyDescent="0.25"/>
    <row r="23" spans="1:4" ht="20" customHeight="1" x14ac:dyDescent="0.25"/>
    <row r="24" spans="1:4" ht="20" customHeight="1" x14ac:dyDescent="0.25"/>
    <row r="25" spans="1:4" ht="20" customHeight="1" x14ac:dyDescent="0.25"/>
    <row r="26" spans="1:4" ht="20" customHeight="1" x14ac:dyDescent="0.25"/>
    <row r="27" spans="1:4" ht="20" customHeight="1" x14ac:dyDescent="0.25"/>
    <row r="28" spans="1:4" ht="20" customHeight="1" x14ac:dyDescent="0.25"/>
    <row r="29" spans="1:4" ht="20" customHeight="1" x14ac:dyDescent="0.25"/>
    <row r="30" spans="1:4" ht="20" customHeight="1" x14ac:dyDescent="0.25"/>
    <row r="31" spans="1:4" ht="20" customHeight="1" x14ac:dyDescent="0.25"/>
  </sheetData>
  <sheetProtection password="CC5A" sheet="1" objects="1" scenarios="1"/>
  <mergeCells count="1">
    <mergeCell ref="A2:D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L28"/>
  <sheetViews>
    <sheetView workbookViewId="0">
      <selection activeCell="C2" sqref="C2"/>
    </sheetView>
  </sheetViews>
  <sheetFormatPr defaultRowHeight="12.5" x14ac:dyDescent="0.25"/>
  <cols>
    <col min="1" max="1" width="2.6328125" customWidth="1"/>
    <col min="2" max="2" width="24.54296875" customWidth="1"/>
    <col min="3" max="3" width="12.6328125" customWidth="1"/>
    <col min="4" max="4" width="5.81640625" customWidth="1"/>
    <col min="5" max="5" width="16.54296875" bestFit="1" customWidth="1"/>
    <col min="6" max="8" width="12.6328125" customWidth="1"/>
    <col min="9" max="9" width="12.90625" customWidth="1"/>
    <col min="10" max="10" width="9.453125" bestFit="1" customWidth="1"/>
    <col min="12" max="12" width="9.453125" style="95" bestFit="1" customWidth="1"/>
    <col min="13" max="13" width="10.36328125" bestFit="1" customWidth="1"/>
    <col min="14" max="14" width="10.453125" bestFit="1" customWidth="1"/>
  </cols>
  <sheetData>
    <row r="1" spans="2:12" ht="20" customHeight="1" thickBot="1" x14ac:dyDescent="0.3"/>
    <row r="2" spans="2:12" ht="20" customHeight="1" thickBot="1" x14ac:dyDescent="0.4">
      <c r="B2" s="124" t="s">
        <v>118</v>
      </c>
      <c r="C2" s="125" t="s">
        <v>123</v>
      </c>
      <c r="D2" s="4"/>
      <c r="E2" s="110" t="s">
        <v>118</v>
      </c>
      <c r="F2" s="110" t="s">
        <v>119</v>
      </c>
      <c r="G2" s="110" t="s">
        <v>120</v>
      </c>
      <c r="H2" s="110" t="s">
        <v>121</v>
      </c>
    </row>
    <row r="3" spans="2:12" ht="20" customHeight="1" x14ac:dyDescent="0.35">
      <c r="B3" s="122" t="s">
        <v>122</v>
      </c>
      <c r="C3" s="123"/>
      <c r="D3" s="4"/>
      <c r="E3" s="108" t="s">
        <v>123</v>
      </c>
      <c r="F3" s="109">
        <v>206.80699999999999</v>
      </c>
      <c r="G3" s="110">
        <v>190000</v>
      </c>
      <c r="H3" s="126" t="str">
        <f>IFERROR(1-3*(PROPRIEDADES[[#This Row],[Y]]*Rf/PROPRIEDADES[[#This Row],[E]]/T)+4*(PROPRIEDADES[[#This Row],[Y]]*Rf/PROPRIEDADES[[#This Row],[E]]/T)^3,"-")</f>
        <v>-</v>
      </c>
    </row>
    <row r="4" spans="2:12" ht="20" customHeight="1" x14ac:dyDescent="0.35">
      <c r="B4" s="114" t="s">
        <v>124</v>
      </c>
      <c r="C4" s="115"/>
      <c r="D4" s="4"/>
      <c r="E4" s="108" t="s">
        <v>125</v>
      </c>
      <c r="F4" s="109">
        <v>550</v>
      </c>
      <c r="G4" s="110">
        <v>215000</v>
      </c>
      <c r="H4" s="126" t="str">
        <f>IFERROR(1-3*(PROPRIEDADES[[#This Row],[Y]]*Rf/PROPRIEDADES[[#This Row],[E]]/T)+4*(PROPRIEDADES[[#This Row],[Y]]*Rf/PROPRIEDADES[[#This Row],[E]]/T)^3,"-")</f>
        <v>-</v>
      </c>
      <c r="I4" s="96"/>
    </row>
    <row r="5" spans="2:12" ht="20" customHeight="1" x14ac:dyDescent="0.35">
      <c r="B5" s="114" t="s">
        <v>126</v>
      </c>
      <c r="C5" s="116"/>
      <c r="D5" s="4"/>
      <c r="E5" s="127" t="s">
        <v>127</v>
      </c>
      <c r="F5" s="109">
        <v>195</v>
      </c>
      <c r="G5" s="110">
        <v>70000</v>
      </c>
      <c r="H5" s="126" t="str">
        <f>IFERROR(1-3*(PROPRIEDADES[[#This Row],[Y]]*Rf/PROPRIEDADES[[#This Row],[E]]/T)+4*(PROPRIEDADES[[#This Row],[Y]]*Rf/PROPRIEDADES[[#This Row],[E]]/T)^3,"-")</f>
        <v>-</v>
      </c>
      <c r="I5" s="96"/>
      <c r="J5" s="95"/>
      <c r="L5"/>
    </row>
    <row r="6" spans="2:12" ht="20" customHeight="1" x14ac:dyDescent="0.35">
      <c r="B6" s="117" t="s">
        <v>128</v>
      </c>
      <c r="C6" s="118" t="str">
        <f>IFERROR(INDEX(PROPRIEDADES[ks],MATCH(C2,PROPRIEDADES[MATERIAL],0)),"-")</f>
        <v>-</v>
      </c>
      <c r="D6" s="4"/>
      <c r="E6" s="108" t="s">
        <v>129</v>
      </c>
      <c r="F6" s="109">
        <v>55.146500000000003</v>
      </c>
      <c r="G6" s="110">
        <v>69000</v>
      </c>
      <c r="H6" s="126" t="str">
        <f>IFERROR(1-3*(PROPRIEDADES[[#This Row],[Y]]*Rf/PROPRIEDADES[[#This Row],[E]]/T)+4*(PROPRIEDADES[[#This Row],[Y]]*Rf/PROPRIEDADES[[#This Row],[E]]/T)^3,"-")</f>
        <v>-</v>
      </c>
      <c r="I6" s="96"/>
      <c r="J6" s="95"/>
      <c r="L6"/>
    </row>
    <row r="7" spans="2:12" ht="20" customHeight="1" x14ac:dyDescent="0.35">
      <c r="B7" s="117" t="s">
        <v>130</v>
      </c>
      <c r="C7" s="119" t="str">
        <f>IFERROR(Ks*(Rf+T/2)-T/2,"-")</f>
        <v>-</v>
      </c>
      <c r="D7" s="4"/>
      <c r="E7" s="4" t="s">
        <v>1</v>
      </c>
      <c r="F7" s="109">
        <v>220</v>
      </c>
      <c r="G7" s="110">
        <v>210000</v>
      </c>
      <c r="H7" s="126" t="str">
        <f>IFERROR(1-3*(PROPRIEDADES[[#This Row],[Y]]*Rf/PROPRIEDADES[[#This Row],[E]]/T)+4*(PROPRIEDADES[[#This Row],[Y]]*Rf/PROPRIEDADES[[#This Row],[E]]/T)^3,"-")</f>
        <v>-</v>
      </c>
      <c r="I7" s="96"/>
      <c r="J7" s="95"/>
      <c r="L7"/>
    </row>
    <row r="8" spans="2:12" ht="20" customHeight="1" thickBot="1" x14ac:dyDescent="0.4">
      <c r="B8" s="120" t="s">
        <v>131</v>
      </c>
      <c r="C8" s="121" t="str">
        <f>IFERROR(α2/Ks,"-")</f>
        <v>-</v>
      </c>
      <c r="D8" s="4"/>
      <c r="E8" s="108" t="s">
        <v>132</v>
      </c>
      <c r="F8" s="109">
        <v>239.7</v>
      </c>
      <c r="G8" s="110">
        <v>100000</v>
      </c>
      <c r="H8" s="126" t="str">
        <f>IFERROR(1-3*(PROPRIEDADES[[#This Row],[Y]]*Rf/PROPRIEDADES[[#This Row],[E]]/T)+4*(PROPRIEDADES[[#This Row],[Y]]*Rf/PROPRIEDADES[[#This Row],[E]]/T)^3,"-")</f>
        <v>-</v>
      </c>
      <c r="I8" s="97"/>
      <c r="J8" s="95"/>
      <c r="L8"/>
    </row>
    <row r="9" spans="2:12" ht="20" customHeight="1" x14ac:dyDescent="0.35">
      <c r="B9" s="4"/>
      <c r="C9" s="4"/>
      <c r="D9" s="4"/>
      <c r="E9" s="108" t="s">
        <v>133</v>
      </c>
      <c r="F9" s="109">
        <v>399.9</v>
      </c>
      <c r="G9" s="110">
        <v>210000</v>
      </c>
      <c r="H9" s="126" t="str">
        <f>IFERROR(1-3*(PROPRIEDADES[[#This Row],[Y]]*Rf/PROPRIEDADES[[#This Row],[E]]/T)+4*(PROPRIEDADES[[#This Row],[Y]]*Rf/PROPRIEDADES[[#This Row],[E]]/T)^3,"-")</f>
        <v>-</v>
      </c>
    </row>
    <row r="10" spans="2:12" ht="20" customHeight="1" x14ac:dyDescent="0.35">
      <c r="B10" s="4"/>
      <c r="C10" s="4"/>
      <c r="D10" s="4"/>
      <c r="E10" s="4"/>
      <c r="F10" s="4"/>
      <c r="G10" s="4"/>
      <c r="H10" s="4"/>
    </row>
    <row r="11" spans="2:12" ht="20" customHeight="1" x14ac:dyDescent="0.35">
      <c r="B11" s="111"/>
      <c r="C11" s="4"/>
      <c r="D11" s="4"/>
      <c r="E11" s="4"/>
      <c r="F11" s="4"/>
      <c r="G11" s="4"/>
      <c r="H11" s="4"/>
    </row>
    <row r="12" spans="2:12" ht="20" customHeight="1" x14ac:dyDescent="0.35">
      <c r="B12" s="4"/>
      <c r="C12" s="4"/>
      <c r="D12" s="4"/>
      <c r="E12" s="4"/>
      <c r="F12" s="4"/>
      <c r="G12" s="4"/>
      <c r="H12" s="4"/>
      <c r="J12" s="95"/>
      <c r="L12"/>
    </row>
    <row r="13" spans="2:12" ht="20" customHeight="1" x14ac:dyDescent="0.35">
      <c r="B13" s="4"/>
      <c r="C13" s="4"/>
      <c r="D13" s="4"/>
      <c r="E13" s="4"/>
      <c r="F13" s="4"/>
      <c r="G13" s="4"/>
      <c r="H13" s="4"/>
      <c r="J13" s="95"/>
      <c r="L13"/>
    </row>
    <row r="14" spans="2:12" ht="20" customHeight="1" x14ac:dyDescent="0.35">
      <c r="B14" s="4"/>
      <c r="C14" s="4"/>
      <c r="D14" s="4"/>
      <c r="E14" s="4"/>
      <c r="F14" s="4"/>
      <c r="G14" s="4"/>
      <c r="H14" s="4"/>
      <c r="J14" s="95"/>
      <c r="L14"/>
    </row>
    <row r="15" spans="2:12" ht="20" customHeight="1" x14ac:dyDescent="0.35">
      <c r="B15" s="4"/>
      <c r="C15" s="4"/>
      <c r="D15" s="4"/>
      <c r="E15" s="4"/>
      <c r="F15" s="4"/>
      <c r="G15" s="4"/>
      <c r="H15" s="4"/>
    </row>
    <row r="16" spans="2:12" ht="20" customHeight="1" x14ac:dyDescent="0.35">
      <c r="B16" s="4"/>
      <c r="C16" s="4"/>
      <c r="D16" s="4"/>
      <c r="E16" s="4"/>
      <c r="F16" s="4"/>
      <c r="G16" s="4"/>
      <c r="H16" s="4"/>
      <c r="L16" s="98"/>
    </row>
    <row r="17" spans="2:8" ht="20" customHeight="1" x14ac:dyDescent="0.35">
      <c r="B17" s="4"/>
      <c r="C17" s="4"/>
      <c r="D17" s="4"/>
      <c r="E17" s="4"/>
      <c r="F17" s="4"/>
      <c r="G17" s="112"/>
      <c r="H17" s="4"/>
    </row>
    <row r="18" spans="2:8" ht="20" customHeight="1" x14ac:dyDescent="0.35">
      <c r="B18" s="4"/>
      <c r="C18" s="4"/>
      <c r="D18" s="4"/>
      <c r="E18" s="4"/>
      <c r="F18" s="4"/>
      <c r="G18" s="4"/>
      <c r="H18" s="4"/>
    </row>
    <row r="19" spans="2:8" ht="20" customHeight="1" x14ac:dyDescent="0.35">
      <c r="B19" s="4"/>
      <c r="C19" s="4"/>
      <c r="D19" s="4"/>
      <c r="E19" s="4"/>
      <c r="F19" s="4"/>
      <c r="G19" s="4"/>
      <c r="H19" s="4"/>
    </row>
    <row r="20" spans="2:8" ht="20" customHeight="1" x14ac:dyDescent="0.35">
      <c r="B20" s="4"/>
      <c r="C20" s="4"/>
      <c r="D20" s="4"/>
      <c r="E20" s="4"/>
      <c r="F20" s="4"/>
      <c r="G20" s="4"/>
      <c r="H20" s="4"/>
    </row>
    <row r="21" spans="2:8" ht="20" customHeight="1" x14ac:dyDescent="0.35">
      <c r="B21" s="4"/>
      <c r="C21" s="4"/>
      <c r="D21" s="4"/>
      <c r="E21" s="4"/>
      <c r="F21" s="4"/>
      <c r="G21" s="4"/>
      <c r="H21" s="4"/>
    </row>
    <row r="22" spans="2:8" ht="20" customHeight="1" x14ac:dyDescent="0.35">
      <c r="B22" s="4"/>
      <c r="C22" s="4"/>
      <c r="D22" s="4"/>
      <c r="E22" s="4"/>
      <c r="F22" s="4"/>
      <c r="G22" s="4"/>
      <c r="H22" s="4"/>
    </row>
    <row r="23" spans="2:8" ht="20" customHeight="1" x14ac:dyDescent="0.35">
      <c r="B23" s="4"/>
      <c r="C23" s="4"/>
      <c r="D23" s="4"/>
      <c r="E23" s="4"/>
      <c r="F23" s="4"/>
      <c r="G23" s="4"/>
      <c r="H23" s="4"/>
    </row>
    <row r="24" spans="2:8" ht="20" customHeight="1" x14ac:dyDescent="0.35">
      <c r="B24" s="4"/>
      <c r="C24" s="4"/>
      <c r="D24" s="4"/>
      <c r="E24" s="4"/>
      <c r="F24" s="4"/>
      <c r="G24" s="4"/>
      <c r="H24" s="4"/>
    </row>
    <row r="25" spans="2:8" ht="20" customHeight="1" x14ac:dyDescent="0.35">
      <c r="B25" s="4"/>
      <c r="C25" s="4"/>
      <c r="D25" s="4"/>
      <c r="E25" s="4"/>
      <c r="F25" s="4"/>
      <c r="G25" s="4"/>
      <c r="H25" s="4"/>
    </row>
    <row r="26" spans="2:8" ht="20" customHeight="1" x14ac:dyDescent="0.35">
      <c r="B26" s="4"/>
      <c r="C26" s="4"/>
      <c r="D26" s="4"/>
      <c r="E26" s="4"/>
      <c r="F26" s="4"/>
      <c r="G26" s="4"/>
      <c r="H26" s="4"/>
    </row>
    <row r="27" spans="2:8" ht="20" customHeight="1" x14ac:dyDescent="0.35">
      <c r="B27" s="4"/>
      <c r="C27" s="4"/>
      <c r="D27" s="4"/>
      <c r="E27" s="4"/>
      <c r="F27" s="4"/>
      <c r="G27" s="4"/>
      <c r="H27" s="4"/>
    </row>
    <row r="28" spans="2:8" ht="20" customHeight="1" x14ac:dyDescent="0.35">
      <c r="B28" s="4"/>
      <c r="C28" s="4"/>
      <c r="D28" s="4"/>
      <c r="E28" s="4"/>
      <c r="F28" s="4"/>
      <c r="G28" s="4"/>
      <c r="H28" s="4"/>
    </row>
  </sheetData>
  <sheetProtection password="CC5A" sheet="1" objects="1" scenarios="1"/>
  <protectedRanges>
    <protectedRange sqref="C2:C5" name="SP"/>
  </protectedRanges>
  <dataValidations count="2">
    <dataValidation type="list" allowBlank="1" showInputMessage="1" showErrorMessage="1" sqref="F16" xr:uid="{00000000-0002-0000-0300-000000000000}">
      <formula1>$E$3:$E$6</formula1>
    </dataValidation>
    <dataValidation type="list" allowBlank="1" showInputMessage="1" showErrorMessage="1" sqref="C2" xr:uid="{00000000-0002-0000-0300-000001000000}">
      <formula1>MaterialSB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10</vt:i4>
      </vt:variant>
    </vt:vector>
  </HeadingPairs>
  <TitlesOfParts>
    <vt:vector size="14" baseType="lpstr">
      <vt:lpstr>Cálculos</vt:lpstr>
      <vt:lpstr>Base de Dados</vt:lpstr>
      <vt:lpstr>Lista de ferramentas</vt:lpstr>
      <vt:lpstr>SPRING BACK</vt:lpstr>
      <vt:lpstr>CANAL_ENTRADA</vt:lpstr>
      <vt:lpstr>ENTRADA_CANAL</vt:lpstr>
      <vt:lpstr>ESP_ENTRADA</vt:lpstr>
      <vt:lpstr>Ks</vt:lpstr>
      <vt:lpstr>LISTA_MATERIAL</vt:lpstr>
      <vt:lpstr>MATERIAL</vt:lpstr>
      <vt:lpstr>Raio</vt:lpstr>
      <vt:lpstr>Rf</vt:lpstr>
      <vt:lpstr>T</vt:lpstr>
      <vt:lpstr>α2</vt:lpstr>
    </vt:vector>
  </TitlesOfParts>
  <Company>LASERJOB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</dc:creator>
  <cp:lastModifiedBy>Raphael Henrique</cp:lastModifiedBy>
  <cp:lastPrinted>2023-02-06T18:36:59Z</cp:lastPrinted>
  <dcterms:created xsi:type="dcterms:W3CDTF">1995-07-24T19:23:06Z</dcterms:created>
  <dcterms:modified xsi:type="dcterms:W3CDTF">2024-12-24T18:09:05Z</dcterms:modified>
</cp:coreProperties>
</file>